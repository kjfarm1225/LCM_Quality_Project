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stj242381\Desktop\"/>
    </mc:Choice>
  </mc:AlternateContent>
  <xr:revisionPtr revIDLastSave="0" documentId="13_ncr:1_{C07C663B-2626-4CCE-BDC8-5ED5906B7307}" xr6:coauthVersionLast="47" xr6:coauthVersionMax="47" xr10:uidLastSave="{00000000-0000-0000-0000-000000000000}"/>
  <bookViews>
    <workbookView xWindow="39510" yWindow="165" windowWidth="14400" windowHeight="7365" firstSheet="3" activeTab="3" xr2:uid="{28992AB8-23CD-412F-895F-C33A070F4E66}"/>
  </bookViews>
  <sheets>
    <sheet name="改定履歴" sheetId="13" r:id="rId1"/>
    <sheet name="22M　LCM　全不具合" sheetId="9" r:id="rId2"/>
    <sheet name="TABLE" sheetId="11" state="hidden" r:id="rId3"/>
    <sheet name="25080購買追記_TB 各拠点LCM搭載機種一覧 (全拠点)" sheetId="25" r:id="rId4"/>
    <sheet name="TB 各拠点LCM搭載機種一覧 (全拠点）" sheetId="12" r:id="rId5"/>
    <sheet name="3A0A_WSE" sheetId="4" state="hidden" r:id="rId6"/>
    <sheet name="3F0A_A60_GSE" sheetId="5" state="hidden" r:id="rId7"/>
    <sheet name="WSE" sheetId="8" state="hidden" r:id="rId8"/>
  </sheets>
  <definedNames>
    <definedName name="_xlnm._FilterDatabase" localSheetId="1" hidden="1">'22M　LCM　全不具合'!$A$4:$AR$106</definedName>
    <definedName name="_xlnm._FilterDatabase" localSheetId="3" hidden="1">'25080購買追記_TB 各拠点LCM搭載機種一覧 (全拠点)'!$B$4:$S$37</definedName>
    <definedName name="_xlnm._FilterDatabase" localSheetId="2" hidden="1">TABLE!$A$4:$E$4</definedName>
    <definedName name="_xlnm._FilterDatabase" localSheetId="4" hidden="1">'TB 各拠点LCM搭載機種一覧 (全拠点）'!$B$4:$S$36</definedName>
    <definedName name="_xlnm._FilterDatabase" localSheetId="0" hidden="1">改定履歴!$B$2:$D$2</definedName>
    <definedName name="_xlnm.Print_Area" localSheetId="1">'22M　LCM　全不具合'!$B$1:$AP$67</definedName>
    <definedName name="_xlnm.Print_Area" localSheetId="3">'25080購買追記_TB 各拠点LCM搭載機種一覧 (全拠点)'!$A$2:$T$41</definedName>
    <definedName name="_xlnm.Print_Area" localSheetId="4">'TB 各拠点LCM搭載機種一覧 (全拠点）'!$A$2:$T$40</definedName>
    <definedName name="対策データ">TABLE!$A$5:$D$14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7" i="25" l="1"/>
  <c r="S32" i="25"/>
  <c r="S31" i="25"/>
  <c r="S30" i="25"/>
  <c r="S29" i="25"/>
  <c r="S28" i="25"/>
  <c r="S27" i="25"/>
  <c r="S26" i="25"/>
  <c r="S25" i="25"/>
  <c r="S24" i="25"/>
  <c r="S23" i="25"/>
  <c r="S22" i="25"/>
  <c r="S21" i="25"/>
  <c r="S20" i="25"/>
  <c r="S19" i="25"/>
  <c r="S18" i="25"/>
  <c r="S17" i="25"/>
  <c r="S16" i="25"/>
  <c r="S15" i="25"/>
  <c r="S14" i="25"/>
  <c r="S13" i="25"/>
  <c r="S12" i="25"/>
  <c r="S11" i="25"/>
  <c r="S10" i="25"/>
  <c r="S9" i="25"/>
  <c r="S8" i="25"/>
  <c r="S7" i="25"/>
  <c r="S6" i="25"/>
  <c r="S5" i="25"/>
  <c r="S37" i="25" s="1"/>
  <c r="F5" i="9" l="1"/>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S106" i="9"/>
  <c r="T106" i="9"/>
  <c r="Y106" i="9"/>
  <c r="Z106" i="9"/>
  <c r="AA106" i="9"/>
  <c r="S105" i="9"/>
  <c r="T105" i="9"/>
  <c r="Y105" i="9"/>
  <c r="Z105" i="9"/>
  <c r="AA105" i="9"/>
  <c r="S104" i="9"/>
  <c r="T104" i="9"/>
  <c r="Y104" i="9"/>
  <c r="Z104" i="9"/>
  <c r="AA104" i="9"/>
  <c r="S102" i="9" l="1"/>
  <c r="S103" i="9"/>
  <c r="T103" i="9"/>
  <c r="Y103" i="9"/>
  <c r="Z103" i="9"/>
  <c r="AA103" i="9"/>
  <c r="T102" i="9"/>
  <c r="Y102" i="9"/>
  <c r="Z102" i="9"/>
  <c r="AA102" i="9"/>
  <c r="S101" i="9"/>
  <c r="T101" i="9"/>
  <c r="Y101" i="9"/>
  <c r="Z101" i="9"/>
  <c r="AA101" i="9"/>
  <c r="S100" i="9"/>
  <c r="T100" i="9"/>
  <c r="Y100" i="9"/>
  <c r="Z100" i="9"/>
  <c r="AA100" i="9"/>
  <c r="AC23" i="9" a="1"/>
  <c r="AC23" i="9" s="1"/>
  <c r="AC26" i="9" a="1"/>
  <c r="AC26" i="9" s="1"/>
  <c r="AC27" i="9" a="1"/>
  <c r="AC27" i="9" s="1"/>
  <c r="AC28" i="9" a="1"/>
  <c r="AC28" i="9" s="1"/>
  <c r="AC29" i="9" a="1"/>
  <c r="AC29" i="9" s="1"/>
  <c r="AC30" i="9" a="1"/>
  <c r="AC30" i="9" s="1"/>
  <c r="AC31" i="9" a="1"/>
  <c r="AC31" i="9" s="1"/>
  <c r="AC32" i="9" a="1"/>
  <c r="AC32" i="9" s="1"/>
  <c r="AC33" i="9" a="1"/>
  <c r="AC33" i="9" s="1"/>
  <c r="AC34" i="9" a="1"/>
  <c r="AC34" i="9" s="1"/>
  <c r="AC35" i="9" a="1"/>
  <c r="AC35" i="9" s="1"/>
  <c r="AC36" i="9" a="1"/>
  <c r="AC36" i="9" s="1"/>
  <c r="AC37" i="9" a="1"/>
  <c r="AC37" i="9" s="1"/>
  <c r="AC38" i="9" a="1"/>
  <c r="AC38" i="9" s="1"/>
  <c r="AC39" i="9" a="1"/>
  <c r="AC39" i="9" s="1"/>
  <c r="AC40" i="9" a="1"/>
  <c r="AC40" i="9" s="1"/>
  <c r="AC41" i="9" a="1"/>
  <c r="AC41" i="9" s="1"/>
  <c r="AC42" i="9" a="1"/>
  <c r="AC42" i="9" s="1"/>
  <c r="AC43" i="9" a="1"/>
  <c r="AC43" i="9" s="1"/>
  <c r="AC44" i="9" a="1"/>
  <c r="AC44" i="9" s="1"/>
  <c r="AC45" i="9" a="1"/>
  <c r="AC45" i="9" s="1"/>
  <c r="AC46" i="9" a="1"/>
  <c r="AC46" i="9" s="1"/>
  <c r="AC47" i="9" a="1"/>
  <c r="AC47" i="9" s="1"/>
  <c r="AC48" i="9" a="1"/>
  <c r="AC48" i="9" s="1"/>
  <c r="AC49" i="9" a="1"/>
  <c r="AC49" i="9" s="1"/>
  <c r="AC50" i="9" a="1"/>
  <c r="AC50" i="9" s="1"/>
  <c r="AC51" i="9" a="1"/>
  <c r="AC51" i="9" s="1"/>
  <c r="AC52" i="9" a="1"/>
  <c r="AC52" i="9" s="1"/>
  <c r="AC53" i="9" a="1"/>
  <c r="AC53" i="9" s="1"/>
  <c r="AC54" i="9" a="1"/>
  <c r="AC54" i="9" s="1"/>
  <c r="AC55" i="9" a="1"/>
  <c r="AC55" i="9" s="1"/>
  <c r="AC56" i="9" a="1"/>
  <c r="AC56" i="9" s="1"/>
  <c r="AC57" i="9" a="1"/>
  <c r="AC57" i="9" s="1"/>
  <c r="AC58" i="9" a="1"/>
  <c r="AC58" i="9" s="1"/>
  <c r="AC59" i="9" a="1"/>
  <c r="AC59" i="9" s="1"/>
  <c r="AC60" i="9" a="1"/>
  <c r="AC60" i="9" s="1"/>
  <c r="AC61" i="9" a="1"/>
  <c r="AC61" i="9" s="1"/>
  <c r="AC62" i="9" a="1"/>
  <c r="AC62" i="9" s="1"/>
  <c r="AC63" i="9" a="1"/>
  <c r="AC63" i="9" s="1"/>
  <c r="AC64" i="9" a="1"/>
  <c r="AC64" i="9" s="1"/>
  <c r="AC65" i="9" a="1"/>
  <c r="AC65" i="9" s="1"/>
  <c r="AC67" i="9" a="1"/>
  <c r="AC67" i="9" s="1"/>
  <c r="AC71" i="9" a="1"/>
  <c r="AC71" i="9" s="1"/>
  <c r="AC74" i="9" a="1"/>
  <c r="AC74" i="9" s="1"/>
  <c r="AC75" i="9" a="1"/>
  <c r="AC75" i="9" s="1"/>
  <c r="AC77" i="9" a="1"/>
  <c r="AC77" i="9" s="1"/>
  <c r="AC78" i="9" a="1"/>
  <c r="AC78" i="9" s="1"/>
  <c r="AC79" i="9" a="1"/>
  <c r="AC79" i="9" s="1"/>
  <c r="AC80" i="9" a="1"/>
  <c r="AC80" i="9" s="1"/>
  <c r="AC81" i="9" a="1"/>
  <c r="AC81" i="9" s="1"/>
  <c r="AC82" i="9" a="1"/>
  <c r="AC82" i="9" s="1"/>
  <c r="AC83" i="9" a="1"/>
  <c r="AC83" i="9" s="1"/>
  <c r="AC84" i="9" a="1"/>
  <c r="AC84" i="9" s="1"/>
  <c r="AC85" i="9" a="1"/>
  <c r="AC85" i="9" s="1"/>
  <c r="AC86" i="9" a="1"/>
  <c r="AC86" i="9" s="1"/>
  <c r="AC87" i="9" a="1"/>
  <c r="AC87" i="9" s="1"/>
  <c r="AC88" i="9" a="1"/>
  <c r="AC88" i="9" s="1"/>
  <c r="AC89" i="9" a="1"/>
  <c r="AC89" i="9" s="1"/>
  <c r="AC90" i="9" a="1"/>
  <c r="AC90" i="9" s="1"/>
  <c r="AC91" i="9" a="1"/>
  <c r="AC91" i="9" s="1"/>
  <c r="AC92" i="9" a="1"/>
  <c r="AC92" i="9" s="1"/>
  <c r="AC93" i="9" a="1"/>
  <c r="AC93" i="9" s="1"/>
  <c r="AC94" i="9" a="1"/>
  <c r="AC94" i="9" s="1"/>
  <c r="AC95" i="9" a="1"/>
  <c r="AC95" i="9" s="1"/>
  <c r="AC96" i="9" a="1"/>
  <c r="AC96" i="9" s="1"/>
  <c r="AC97" i="9" a="1"/>
  <c r="AC97" i="9" s="1"/>
  <c r="AC98" i="9" a="1"/>
  <c r="AC98" i="9" s="1"/>
  <c r="AC99" i="9" a="1"/>
  <c r="AC99" i="9" s="1"/>
  <c r="C18" i="11"/>
  <c r="AC105" i="9" l="1" a="1"/>
  <c r="AC105" i="9" s="1"/>
  <c r="AC106" i="9" a="1"/>
  <c r="AC106" i="9" s="1"/>
  <c r="AC104" i="9" a="1"/>
  <c r="AC104" i="9" s="1"/>
  <c r="AC102" i="9" a="1"/>
  <c r="AC102" i="9" s="1"/>
  <c r="AC101" i="9" a="1"/>
  <c r="AC101" i="9" s="1"/>
  <c r="AC103" i="9" a="1"/>
  <c r="AC103" i="9" s="1"/>
  <c r="AC5" i="9" a="1"/>
  <c r="AC5" i="9" s="1"/>
  <c r="Y99" i="9"/>
  <c r="Z99" i="9"/>
  <c r="AA99" i="9"/>
  <c r="S97" i="9" l="1"/>
  <c r="T97" i="9"/>
  <c r="S98" i="9"/>
  <c r="T98" i="9"/>
  <c r="S99" i="9"/>
  <c r="T99" i="9"/>
  <c r="Y97" i="9"/>
  <c r="Z97" i="9"/>
  <c r="AA97" i="9"/>
  <c r="Y98" i="9"/>
  <c r="Z98" i="9"/>
  <c r="AA98" i="9"/>
  <c r="AC100" i="9" l="1" a="1"/>
  <c r="AC100" i="9" s="1"/>
  <c r="AC6" i="9" a="1"/>
  <c r="AC6" i="9" s="1"/>
  <c r="AC10" i="9" a="1"/>
  <c r="AC10" i="9" s="1"/>
  <c r="AC14" i="9" a="1"/>
  <c r="AC14" i="9" s="1"/>
  <c r="AC18" i="9" a="1"/>
  <c r="AC18" i="9" s="1"/>
  <c r="AC22" i="9" a="1"/>
  <c r="AC22" i="9" s="1"/>
  <c r="AC11" i="9" a="1"/>
  <c r="AC11" i="9" s="1"/>
  <c r="AC7" i="9" a="1"/>
  <c r="AC7" i="9" s="1"/>
  <c r="AC15" i="9" a="1"/>
  <c r="AC15" i="9" s="1"/>
  <c r="AC19" i="9" a="1"/>
  <c r="AC19" i="9" s="1"/>
  <c r="AC12" i="9" a="1"/>
  <c r="AC12" i="9" s="1"/>
  <c r="AC16" i="9" a="1"/>
  <c r="AC16" i="9" s="1"/>
  <c r="AC24" i="9" a="1"/>
  <c r="AC24" i="9" s="1"/>
  <c r="AC72" i="9" a="1"/>
  <c r="AC72" i="9" s="1"/>
  <c r="AC8" i="9" a="1"/>
  <c r="AC8" i="9" s="1"/>
  <c r="AC20" i="9" a="1"/>
  <c r="AC20" i="9" s="1"/>
  <c r="AC68" i="9" a="1"/>
  <c r="AC68" i="9" s="1"/>
  <c r="AC76" i="9" a="1"/>
  <c r="AC76" i="9" s="1"/>
  <c r="AC70" i="9" a="1"/>
  <c r="AC70" i="9" s="1"/>
  <c r="AC13" i="9" a="1"/>
  <c r="AC13" i="9" s="1"/>
  <c r="AC25" i="9" a="1"/>
  <c r="AC25" i="9" s="1"/>
  <c r="AC69" i="9" a="1"/>
  <c r="AC69" i="9" s="1"/>
  <c r="AC73" i="9" a="1"/>
  <c r="AC73" i="9" s="1"/>
  <c r="AC66" i="9" a="1"/>
  <c r="AC66" i="9" s="1"/>
  <c r="AC9" i="9" a="1"/>
  <c r="AC9" i="9" s="1"/>
  <c r="AC17" i="9" a="1"/>
  <c r="AC17" i="9" s="1"/>
  <c r="AC21" i="9" a="1"/>
  <c r="AC21" i="9" s="1"/>
  <c r="Y5" i="9"/>
  <c r="T6" i="9" l="1"/>
  <c r="T7" i="9"/>
  <c r="T8" i="9"/>
  <c r="T9" i="9"/>
  <c r="T10" i="9"/>
  <c r="T11" i="9"/>
  <c r="T12" i="9"/>
  <c r="T13" i="9"/>
  <c r="T14" i="9"/>
  <c r="T15" i="9"/>
  <c r="T16" i="9"/>
  <c r="T17" i="9"/>
  <c r="T18" i="9"/>
  <c r="T19" i="9"/>
  <c r="T20" i="9"/>
  <c r="T21" i="9"/>
  <c r="T22" i="9"/>
  <c r="T23" i="9"/>
  <c r="T24" i="9"/>
  <c r="T25" i="9"/>
  <c r="T26" i="9"/>
  <c r="T27" i="9"/>
  <c r="T28" i="9"/>
  <c r="T29" i="9"/>
  <c r="T30" i="9"/>
  <c r="T31" i="9"/>
  <c r="T32" i="9"/>
  <c r="T33" i="9"/>
  <c r="T34" i="9"/>
  <c r="T35" i="9"/>
  <c r="T36" i="9"/>
  <c r="T37" i="9"/>
  <c r="T38" i="9"/>
  <c r="T39" i="9"/>
  <c r="T40" i="9"/>
  <c r="T41" i="9"/>
  <c r="T42" i="9"/>
  <c r="T43" i="9"/>
  <c r="T44" i="9"/>
  <c r="T45" i="9"/>
  <c r="T46" i="9"/>
  <c r="T47" i="9"/>
  <c r="T48" i="9"/>
  <c r="T49" i="9"/>
  <c r="T50" i="9"/>
  <c r="T51" i="9"/>
  <c r="T52" i="9"/>
  <c r="T53" i="9"/>
  <c r="T54" i="9"/>
  <c r="T55" i="9"/>
  <c r="T56" i="9"/>
  <c r="T57" i="9"/>
  <c r="T58" i="9"/>
  <c r="T59" i="9"/>
  <c r="T60" i="9"/>
  <c r="T61" i="9"/>
  <c r="T62" i="9"/>
  <c r="T63" i="9"/>
  <c r="T64" i="9"/>
  <c r="T65" i="9"/>
  <c r="T66" i="9"/>
  <c r="T67" i="9"/>
  <c r="T68" i="9"/>
  <c r="T69" i="9"/>
  <c r="T70" i="9"/>
  <c r="T71" i="9"/>
  <c r="T72" i="9"/>
  <c r="T73" i="9"/>
  <c r="T74" i="9"/>
  <c r="T75" i="9"/>
  <c r="T76" i="9"/>
  <c r="T77" i="9"/>
  <c r="T78" i="9"/>
  <c r="T79" i="9"/>
  <c r="T80" i="9"/>
  <c r="T81" i="9"/>
  <c r="T82" i="9"/>
  <c r="T83" i="9"/>
  <c r="T84" i="9"/>
  <c r="T85" i="9"/>
  <c r="T86" i="9"/>
  <c r="T87" i="9"/>
  <c r="T88" i="9"/>
  <c r="T89" i="9"/>
  <c r="T90" i="9"/>
  <c r="T91" i="9"/>
  <c r="T92" i="9"/>
  <c r="T93" i="9"/>
  <c r="T94" i="9"/>
  <c r="T95" i="9"/>
  <c r="T96" i="9"/>
  <c r="S6" i="9"/>
  <c r="S7" i="9"/>
  <c r="S8" i="9"/>
  <c r="S9" i="9"/>
  <c r="S10" i="9"/>
  <c r="S11" i="9"/>
  <c r="S12" i="9"/>
  <c r="S13" i="9"/>
  <c r="S14" i="9"/>
  <c r="S15" i="9"/>
  <c r="S16" i="9"/>
  <c r="S17" i="9"/>
  <c r="S18" i="9"/>
  <c r="S19" i="9"/>
  <c r="S20" i="9"/>
  <c r="S21" i="9"/>
  <c r="S22" i="9"/>
  <c r="S23" i="9"/>
  <c r="S24" i="9"/>
  <c r="S25"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T5" i="9"/>
  <c r="S5" i="9"/>
  <c r="AA6" i="9" l="1"/>
  <c r="AA7" i="9"/>
  <c r="AA8" i="9"/>
  <c r="AA9" i="9"/>
  <c r="AA10" i="9"/>
  <c r="AA11" i="9"/>
  <c r="AA12" i="9"/>
  <c r="AA13" i="9"/>
  <c r="AA14" i="9"/>
  <c r="AA15" i="9"/>
  <c r="AA16" i="9"/>
  <c r="AA17" i="9"/>
  <c r="AA18" i="9"/>
  <c r="AA19" i="9"/>
  <c r="AA20" i="9"/>
  <c r="AA21" i="9"/>
  <c r="AA22" i="9"/>
  <c r="AA23" i="9"/>
  <c r="AA24" i="9"/>
  <c r="AA25" i="9"/>
  <c r="AA26" i="9"/>
  <c r="AA27" i="9"/>
  <c r="AA28" i="9"/>
  <c r="AA29" i="9"/>
  <c r="AA30" i="9"/>
  <c r="AA31" i="9"/>
  <c r="AA32" i="9"/>
  <c r="AA33" i="9"/>
  <c r="AA34" i="9"/>
  <c r="AA35" i="9"/>
  <c r="AA36" i="9"/>
  <c r="AA37" i="9"/>
  <c r="AA38" i="9"/>
  <c r="AA39" i="9"/>
  <c r="AA40" i="9"/>
  <c r="AA41" i="9"/>
  <c r="AA42" i="9"/>
  <c r="AA43" i="9"/>
  <c r="AA44" i="9"/>
  <c r="AA45" i="9"/>
  <c r="AA46" i="9"/>
  <c r="AA47" i="9"/>
  <c r="AA48" i="9"/>
  <c r="AA49" i="9"/>
  <c r="AA50" i="9"/>
  <c r="AA51" i="9"/>
  <c r="AA52" i="9"/>
  <c r="AA53" i="9"/>
  <c r="AA54" i="9"/>
  <c r="AA55" i="9"/>
  <c r="AA56" i="9"/>
  <c r="AA57" i="9"/>
  <c r="AA58" i="9"/>
  <c r="AA59" i="9"/>
  <c r="AA60" i="9"/>
  <c r="AA61" i="9"/>
  <c r="AA62" i="9"/>
  <c r="AA63" i="9"/>
  <c r="AA64" i="9"/>
  <c r="AA65" i="9"/>
  <c r="AA66" i="9"/>
  <c r="AA67" i="9"/>
  <c r="AA68" i="9"/>
  <c r="AA69" i="9"/>
  <c r="AA70" i="9"/>
  <c r="AA71" i="9"/>
  <c r="AA72" i="9"/>
  <c r="AA73" i="9"/>
  <c r="AA74" i="9"/>
  <c r="AA75" i="9"/>
  <c r="AA76" i="9"/>
  <c r="AA77" i="9"/>
  <c r="AA78" i="9"/>
  <c r="AA79" i="9"/>
  <c r="AA80" i="9"/>
  <c r="AA81" i="9"/>
  <c r="AA82" i="9"/>
  <c r="AA83" i="9"/>
  <c r="AA84" i="9"/>
  <c r="AA85" i="9"/>
  <c r="AA86" i="9"/>
  <c r="AA87" i="9"/>
  <c r="AA88" i="9"/>
  <c r="AA89" i="9"/>
  <c r="AA90" i="9"/>
  <c r="AA91" i="9"/>
  <c r="AA92" i="9"/>
  <c r="AA93" i="9"/>
  <c r="AA94" i="9"/>
  <c r="AA95" i="9"/>
  <c r="AA96" i="9"/>
  <c r="Z6" i="9"/>
  <c r="Z7"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AA5" i="9"/>
  <c r="Z5" i="9"/>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R36" i="12"/>
  <c r="S32" i="12"/>
  <c r="S31" i="12"/>
  <c r="S30" i="12"/>
  <c r="S29" i="12"/>
  <c r="S28" i="12"/>
  <c r="S27" i="12"/>
  <c r="S26" i="12"/>
  <c r="S25" i="12"/>
  <c r="S24" i="12"/>
  <c r="S23" i="12"/>
  <c r="S22" i="12"/>
  <c r="S21" i="12"/>
  <c r="S20" i="12"/>
  <c r="S19" i="12"/>
  <c r="S18" i="12"/>
  <c r="S17" i="12"/>
  <c r="S16" i="12"/>
  <c r="S15" i="12"/>
  <c r="S14" i="12"/>
  <c r="S13" i="12"/>
  <c r="S12" i="12"/>
  <c r="S11" i="12"/>
  <c r="S10" i="12"/>
  <c r="S9" i="12"/>
  <c r="S8" i="12"/>
  <c r="S7" i="12"/>
  <c r="S6" i="12"/>
  <c r="S5" i="12"/>
  <c r="S36"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tc={0F28CC07-6FDA-4F90-8741-A8AF3D615B29}</author>
    <author>tc={3D5C16AF-7ACA-4331-8C7F-449E775D7523}</author>
    <author>tc={5FEEE25F-913C-453F-84FE-7FC3D26CD7A8}</author>
    <author>tc={769B090A-68B3-42DE-AEA9-088E32401C1A}</author>
    <author>tc={6D4794CE-BC05-4FAA-AE71-4EA17DF86234}</author>
    <author>tc={9326D27D-8D76-4D98-B37D-55E91F44CACF}</author>
    <author>tc={38CE25AF-148F-4356-AB8C-0094DD01678A}</author>
    <author>tc={D4300654-FDA6-47D3-BE9F-FB7CD9787ACA}</author>
    <author>tc={4A0886BC-75EB-4B57-B354-AE914FF6CED9}</author>
    <author>tc={94D733D3-C523-435D-BBFA-5EDE8E311122}</author>
  </authors>
  <commentList>
    <comment ref="F4" authorId="0" shapeId="0" xr:uid="{0F28CC07-6FDA-4F90-8741-A8AF3D615B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07.31 TABLEより自動算出
データ追加時セル（関数）コピー</t>
      </text>
    </comment>
    <comment ref="K4" authorId="1" shapeId="0" xr:uid="{3D5C16AF-7ACA-4331-8C7F-449E775D752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07.31 距離換算して入力すること　＊1.6
</t>
      </text>
    </comment>
    <comment ref="S4" authorId="2" shapeId="0" xr:uid="{5FEEE25F-913C-453F-84FE-7FC3D26CD7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08.08 TB各拠点から自動算出</t>
      </text>
    </comment>
    <comment ref="T4" authorId="3" shapeId="0" xr:uid="{769B090A-68B3-42DE-AEA9-088E32401C1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08.08 TB各拠点から自動算出</t>
      </text>
    </comment>
    <comment ref="Y4" authorId="4" shapeId="0" xr:uid="{6D4794CE-BC05-4FAA-AE71-4EA17DF862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08.08 TB各拠点から自動算出</t>
      </text>
    </comment>
    <comment ref="Z4" authorId="5" shapeId="0" xr:uid="{9326D27D-8D76-4D98-B37D-55E91F44CAC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08.08 TB各拠点から自動算出</t>
      </text>
    </comment>
    <comment ref="AA4" authorId="6" shapeId="0" xr:uid="{38CE25AF-148F-4356-AB8C-0094DD016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08.08 TB各拠点から自動算出</t>
      </text>
    </comment>
    <comment ref="AC4" authorId="7" shapeId="0" xr:uid="{D4300654-FDA6-47D3-BE9F-FB7CD9787AC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07.30 TABLEより自動算出</t>
      </text>
    </comment>
    <comment ref="AG4" authorId="8" shapeId="0" xr:uid="{4A0886BC-75EB-4B57-B354-AE914FF6CED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07.19 不良選別項目追記</t>
      </text>
    </comment>
    <comment ref="AS22" authorId="9" shapeId="0" xr:uid="{94D733D3-C523-435D-BBFA-5EDE8E31112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ワランティ日付（4/12)</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B6E14C-24E7-42AD-87DB-A0ADDECD7547}" keepAlive="1" name="クエリ - Cleaned_Data" description="ブック内の 'Cleaned_Data' クエリへの接続です。" type="5" refreshedVersion="8" saveData="1">
    <dbPr connection="Provider=Microsoft.Mashup.OleDb.1;Data Source=$Workbook$;Location=Cleaned_Data;Extended Properties=&quot;&quot;" command="SELECT * FROM [Cleaned_Data]"/>
    <extLst>
      <ext xmlns:x15="http://schemas.microsoft.com/office/spreadsheetml/2010/11/main" uri="{DE250136-89BD-433C-8126-D09CA5730AF9}">
        <x15:connection id="" excludeFromRefreshAll="1"/>
      </ext>
    </extLst>
  </connection>
  <connection id="2" xr16:uid="{242D57E7-44E9-45FC-9B01-82B3C67A7C65}" keepAlive="1" name="クエリ - CountermeasureMaster_tbl" description="ブック内の 'CountermeasureMaster_tbl' クエリへの接続です。" type="5" refreshedVersion="0" background="1">
    <dbPr connection="Provider=Microsoft.Mashup.OleDb.1;Data Source=$Workbook$;Location=CountermeasureMaster_tbl;Extended Properties=&quot;&quot;" command="SELECT * FROM [CountermeasureMaster_tbl]"/>
  </connection>
  <connection id="3" xr16:uid="{D4D3D117-341C-4BA0-9BBD-73B0F7D27FCC}" keepAlive="1" name="クエリ - LCM_Defect_Summary_All" description="ブック内の 'LCM_Defect_Summary_All' クエリへの接続です。" type="5" refreshedVersion="8" background="1" refreshOnLoad="1" saveData="1">
    <dbPr connection="Provider=Microsoft.Mashup.OleDb.1;Data Source=$Workbook$;Location=LCM_Defect_Summary_All;Extended Properties=&quot;&quot;" command="SELECT * FROM [LCM_Defect_Summary_All]"/>
  </connection>
  <connection id="4" xr16:uid="{C99D94E7-AF85-4F58-8B8B-871AE655DD3E}" keepAlive="1" name="クエリ - LCM_InstalledModels_AllSites_tbl" description="ブック内の 'LCM_InstalledModels_AllSites_tbl' クエリへの接続です。" type="5" refreshedVersion="0" background="1">
    <dbPr connection="Provider=Microsoft.Mashup.OleDb.1;Data Source=$Workbook$;Location=LCM_InstalledModels_AllSites_tbl;Extended Properties=&quot;&quot;" command="SELECT * FROM [LCM_InstalledModels_AllSites_tbl]"/>
  </connection>
  <connection id="5" xr16:uid="{8554EEE7-902F-43F5-89F6-EA2BA6171A2A}" keepAlive="1" name="クエリ - LocationMaster_tbl" description="ブック内の 'LocationMaster_tbl' クエリへの接続です。" type="5" refreshedVersion="0" background="1">
    <dbPr connection="Provider=Microsoft.Mashup.OleDb.1;Data Source=$Workbook$;Location=LocationMaster_tbl;Extended Properties=&quot;&quot;" command="SELECT * FROM [LocationMaster_tbl]"/>
  </connection>
  <connection id="6" xr16:uid="{2A863D86-E5B1-48B6-BF6C-B887F7FF1ACD}" keepAlive="1" name="クエリ - ModelMaster_all_tbl" description="ブック内の 'ModelMaster_all_tbl' クエリへの接続です。" type="5" refreshedVersion="0" background="1">
    <dbPr connection="Provider=Microsoft.Mashup.OleDb.1;Data Source=$Workbook$;Location=ModelMaster_all_tbl;Extended Properties=&quot;&quot;" command="SELECT * FROM [ModelMaster_all_tb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<sst xmlns="http://schemas.openxmlformats.org/spreadsheetml/2006/main" count="4097" uniqueCount="1046">
  <si>
    <t>拠点</t>
    <rPh sb="0" eb="2">
      <t>キョテン</t>
    </rPh>
    <phoneticPr fontId="1"/>
  </si>
  <si>
    <t>車種</t>
    <rPh sb="0" eb="2">
      <t>シャシュ</t>
    </rPh>
    <phoneticPr fontId="1"/>
  </si>
  <si>
    <t>搬入</t>
    <rPh sb="0" eb="2">
      <t>ハンニュウ</t>
    </rPh>
    <phoneticPr fontId="1"/>
  </si>
  <si>
    <t>発生日</t>
    <rPh sb="0" eb="2">
      <t>ハッセイ</t>
    </rPh>
    <rPh sb="2" eb="3">
      <t>ビ</t>
    </rPh>
    <phoneticPr fontId="1"/>
  </si>
  <si>
    <t>不具合事象</t>
    <rPh sb="0" eb="3">
      <t>フグアイ</t>
    </rPh>
    <rPh sb="3" eb="5">
      <t>ジショウ</t>
    </rPh>
    <phoneticPr fontId="1"/>
  </si>
  <si>
    <t>全不灯</t>
    <rPh sb="0" eb="1">
      <t>ゼン</t>
    </rPh>
    <rPh sb="1" eb="2">
      <t>フ</t>
    </rPh>
    <rPh sb="2" eb="3">
      <t>トウ</t>
    </rPh>
    <phoneticPr fontId="1"/>
  </si>
  <si>
    <t>返却日</t>
    <rPh sb="0" eb="2">
      <t>ヘンキャク</t>
    </rPh>
    <rPh sb="2" eb="3">
      <t>ビ</t>
    </rPh>
    <phoneticPr fontId="1"/>
  </si>
  <si>
    <t>品番</t>
    <rPh sb="0" eb="2">
      <t>ヒンバン</t>
    </rPh>
    <phoneticPr fontId="1"/>
  </si>
  <si>
    <t>CRV</t>
    <phoneticPr fontId="1"/>
  </si>
  <si>
    <t>3A0A</t>
    <phoneticPr fontId="1"/>
  </si>
  <si>
    <t>市場</t>
    <rPh sb="0" eb="2">
      <t>シジョウ</t>
    </rPh>
    <phoneticPr fontId="1"/>
  </si>
  <si>
    <t>動作確認結果</t>
    <rPh sb="0" eb="2">
      <t>ドウサ</t>
    </rPh>
    <rPh sb="2" eb="4">
      <t>カクニン</t>
    </rPh>
    <rPh sb="4" eb="6">
      <t>ケッカ</t>
    </rPh>
    <phoneticPr fontId="1"/>
  </si>
  <si>
    <t>外観確認結果</t>
    <rPh sb="0" eb="2">
      <t>ガイカン</t>
    </rPh>
    <rPh sb="2" eb="4">
      <t>カクニン</t>
    </rPh>
    <rPh sb="4" eb="6">
      <t>ケッカ</t>
    </rPh>
    <phoneticPr fontId="1"/>
  </si>
  <si>
    <t>原因</t>
    <rPh sb="0" eb="2">
      <t>ゲンイン</t>
    </rPh>
    <phoneticPr fontId="1"/>
  </si>
  <si>
    <t>今後の予定</t>
    <rPh sb="0" eb="2">
      <t>コンゴ</t>
    </rPh>
    <rPh sb="3" eb="5">
      <t>ヨテイ</t>
    </rPh>
    <phoneticPr fontId="1"/>
  </si>
  <si>
    <t>SUS</t>
    <phoneticPr fontId="1"/>
  </si>
  <si>
    <t>発生区</t>
    <rPh sb="0" eb="2">
      <t>ハッセイ</t>
    </rPh>
    <rPh sb="2" eb="3">
      <t>ク</t>
    </rPh>
    <phoneticPr fontId="1"/>
  </si>
  <si>
    <t>LCM生産工場</t>
    <rPh sb="3" eb="5">
      <t>セイサン</t>
    </rPh>
    <rPh sb="5" eb="7">
      <t>コウジョウ</t>
    </rPh>
    <phoneticPr fontId="1"/>
  </si>
  <si>
    <t>RH/LH</t>
    <phoneticPr fontId="1"/>
  </si>
  <si>
    <t>不明</t>
    <rPh sb="0" eb="2">
      <t>フメイ</t>
    </rPh>
    <phoneticPr fontId="1"/>
  </si>
  <si>
    <t>作成日：2023年01月25日</t>
    <rPh sb="0" eb="3">
      <t>サクセイビ</t>
    </rPh>
    <rPh sb="8" eb="9">
      <t>ネン</t>
    </rPh>
    <rPh sb="11" eb="12">
      <t>ガツ</t>
    </rPh>
    <rPh sb="14" eb="15">
      <t>ニチ</t>
    </rPh>
    <phoneticPr fontId="1"/>
  </si>
  <si>
    <t>自動車機器保証課　牧野</t>
    <rPh sb="0" eb="3">
      <t>ジドウシャ</t>
    </rPh>
    <rPh sb="3" eb="5">
      <t>キキ</t>
    </rPh>
    <rPh sb="5" eb="7">
      <t>ホショウ</t>
    </rPh>
    <rPh sb="7" eb="8">
      <t>カ</t>
    </rPh>
    <rPh sb="9" eb="11">
      <t>マキノ</t>
    </rPh>
    <phoneticPr fontId="1"/>
  </si>
  <si>
    <t>RH</t>
    <phoneticPr fontId="1"/>
  </si>
  <si>
    <t>スクリーニング(ランプ）</t>
    <phoneticPr fontId="1"/>
  </si>
  <si>
    <t>スクリーニング（ＬＣＭ）</t>
    <phoneticPr fontId="1"/>
  </si>
  <si>
    <t>ﾗﾝﾌﾟ生産日</t>
    <rPh sb="4" eb="6">
      <t>セイサン</t>
    </rPh>
    <rPh sb="6" eb="7">
      <t>ビ</t>
    </rPh>
    <phoneticPr fontId="1"/>
  </si>
  <si>
    <t>LCM生産日</t>
    <rPh sb="3" eb="5">
      <t>セイサン</t>
    </rPh>
    <rPh sb="5" eb="6">
      <t>ビ</t>
    </rPh>
    <phoneticPr fontId="1"/>
  </si>
  <si>
    <t>シリアル№</t>
    <phoneticPr fontId="1"/>
  </si>
  <si>
    <t>WSE</t>
    <phoneticPr fontId="1"/>
  </si>
  <si>
    <t>組立ライン</t>
    <rPh sb="0" eb="2">
      <t>クミタテ</t>
    </rPh>
    <phoneticPr fontId="1"/>
  </si>
  <si>
    <t>MELAC(中国）</t>
    <rPh sb="6" eb="8">
      <t>チュウゴク</t>
    </rPh>
    <phoneticPr fontId="1"/>
  </si>
  <si>
    <t>未返却</t>
    <rPh sb="0" eb="3">
      <t>ミヘンキャク</t>
    </rPh>
    <phoneticPr fontId="1"/>
  </si>
  <si>
    <t>GSE</t>
    <phoneticPr fontId="1"/>
  </si>
  <si>
    <t>BREEZE</t>
    <phoneticPr fontId="1"/>
  </si>
  <si>
    <t>3F0A</t>
    <phoneticPr fontId="1"/>
  </si>
  <si>
    <t>LH</t>
    <phoneticPr fontId="1"/>
  </si>
  <si>
    <t>F/T不灯
エラーコード：B275A（FT光源異L側）B275E(ｻｰﾐｽﾀ異常L側）</t>
    <rPh sb="3" eb="4">
      <t>フ</t>
    </rPh>
    <rPh sb="4" eb="5">
      <t>トウ</t>
    </rPh>
    <rPh sb="21" eb="23">
      <t>コウゲン</t>
    </rPh>
    <rPh sb="23" eb="24">
      <t>イ</t>
    </rPh>
    <rPh sb="25" eb="26">
      <t>ガワ</t>
    </rPh>
    <rPh sb="38" eb="40">
      <t>イジョウ</t>
    </rPh>
    <rPh sb="41" eb="42">
      <t>ガワ</t>
    </rPh>
    <phoneticPr fontId="1"/>
  </si>
  <si>
    <r>
      <rPr>
        <sz val="11"/>
        <color theme="1"/>
        <rFont val="游ゴシック"/>
        <family val="3"/>
        <charset val="134"/>
      </rPr>
      <t>东</t>
    </r>
    <r>
      <rPr>
        <sz val="11"/>
        <color theme="1"/>
        <rFont val="ＭＳ Ｐゴシック"/>
        <family val="3"/>
        <charset val="128"/>
      </rPr>
      <t>莞永升</t>
    </r>
    <phoneticPr fontId="1"/>
  </si>
  <si>
    <r>
      <rPr>
        <sz val="11"/>
        <color theme="1"/>
        <rFont val="游ゴシック"/>
        <family val="3"/>
        <charset val="134"/>
      </rPr>
      <t>东</t>
    </r>
    <r>
      <rPr>
        <sz val="11"/>
        <color theme="1"/>
        <rFont val="ＭＳ Ｐゴシック"/>
        <family val="3"/>
        <charset val="128"/>
      </rPr>
      <t>莞</t>
    </r>
    <r>
      <rPr>
        <sz val="11"/>
        <color theme="1"/>
        <rFont val="游ゴシック"/>
        <family val="3"/>
        <charset val="134"/>
      </rPr>
      <t>东</t>
    </r>
    <r>
      <rPr>
        <sz val="11"/>
        <color theme="1"/>
        <rFont val="ＭＳ Ｐゴシック"/>
        <family val="3"/>
        <charset val="128"/>
      </rPr>
      <t>仁</t>
    </r>
    <phoneticPr fontId="1"/>
  </si>
  <si>
    <t>作成日：2023年01月30日</t>
    <rPh sb="0" eb="3">
      <t>サクセイビ</t>
    </rPh>
    <rPh sb="8" eb="9">
      <t>ネン</t>
    </rPh>
    <rPh sb="11" eb="12">
      <t>ガツ</t>
    </rPh>
    <rPh sb="14" eb="15">
      <t>ニチ</t>
    </rPh>
    <phoneticPr fontId="1"/>
  </si>
  <si>
    <t xml:space="preserve">【Loグレード】
　①TURN　⇔　PO　の点灯切替の繰り返し動作　　×5回
　②TURN　⇔　消灯　の点灯切替の繰り返し動作　×5回
【3A0A Hiグレード[シーケンシャル仕様])】
　①Lo+Hi　⇔　Lo　の点灯切替の繰り返し動作　　×5回
　②Lo+Hi　⇔　消灯　の点灯切替の繰り返し動作　×5回
【3A0A Hiグレード[ADB仕様]】
　①Lo+ACL　⇔　Lo　の点灯切替の繰り返し動作　　×5回
　②Lo+ACL　⇔　消灯　の点灯切替の繰り返し動作　×5回
</t>
    <rPh sb="37" eb="38">
      <t>カイ</t>
    </rPh>
    <rPh sb="66" eb="67">
      <t>カイ</t>
    </rPh>
    <rPh sb="124" eb="125">
      <t>カイ</t>
    </rPh>
    <rPh sb="154" eb="155">
      <t>カイ</t>
    </rPh>
    <rPh sb="208" eb="209">
      <t>カイ</t>
    </rPh>
    <rPh sb="239" eb="240">
      <t>カイ</t>
    </rPh>
    <phoneticPr fontId="1"/>
  </si>
  <si>
    <t>【Loグレード】
　①TURN　⇔　PO　の点灯切替の繰り返し動作　　×5回
　②TURN　⇔　消灯　の点灯切替の繰り返し動作　×5回
【3A0A Hiグレード[シーケンシャル仕様])】
　①Lo+Hi　⇔　Lo　の点灯切替の繰り返し動作　　×5回
　②Lo+Hi　⇔　消灯　の点灯切替の繰り返し動作　×5回
【3A0A Hiグレード[ADB仕様]】
　①Lo+ACL　⇔　Lo　の点灯切替の繰り返し動作　　×5回
　②Lo+ACL　⇔　消灯　の点灯切替の繰り返し動作　×5回</t>
    <phoneticPr fontId="1"/>
  </si>
  <si>
    <t>BP08X
2022年12月8日</t>
    <rPh sb="10" eb="11">
      <t>ネン</t>
    </rPh>
    <rPh sb="13" eb="14">
      <t>ガツ</t>
    </rPh>
    <rPh sb="15" eb="16">
      <t>ニチ</t>
    </rPh>
    <phoneticPr fontId="1"/>
  </si>
  <si>
    <t>BN07
2022年11月7日</t>
    <rPh sb="9" eb="10">
      <t>ネン</t>
    </rPh>
    <rPh sb="12" eb="13">
      <t>ガツ</t>
    </rPh>
    <rPh sb="14" eb="15">
      <t>ニチ</t>
    </rPh>
    <phoneticPr fontId="1"/>
  </si>
  <si>
    <t>・全String点灯中の電流値変動の繰り返し作動5回実施
・全String点灯⇔ 消灯 の切替の繰り返し動作5回実施
　　基板高温検査工程に追加
　　2/8導入予定</t>
    <rPh sb="1" eb="2">
      <t>ゼン</t>
    </rPh>
    <rPh sb="8" eb="11">
      <t>テントウチュウ</t>
    </rPh>
    <rPh sb="12" eb="15">
      <t>デンリュウチ</t>
    </rPh>
    <rPh sb="15" eb="17">
      <t>ヘンドウ</t>
    </rPh>
    <rPh sb="18" eb="19">
      <t>ク</t>
    </rPh>
    <rPh sb="20" eb="21">
      <t>カエ</t>
    </rPh>
    <rPh sb="22" eb="24">
      <t>サドウ</t>
    </rPh>
    <rPh sb="25" eb="26">
      <t>カイ</t>
    </rPh>
    <rPh sb="26" eb="28">
      <t>ジッシ</t>
    </rPh>
    <rPh sb="30" eb="31">
      <t>ゼン</t>
    </rPh>
    <rPh sb="37" eb="39">
      <t>テントウ</t>
    </rPh>
    <rPh sb="41" eb="43">
      <t>ショウトウ</t>
    </rPh>
    <rPh sb="45" eb="47">
      <t>キリカエ</t>
    </rPh>
    <rPh sb="48" eb="49">
      <t>ク</t>
    </rPh>
    <rPh sb="50" eb="51">
      <t>カエ</t>
    </rPh>
    <rPh sb="52" eb="54">
      <t>ドウサ</t>
    </rPh>
    <rPh sb="55" eb="56">
      <t>カイ</t>
    </rPh>
    <rPh sb="56" eb="58">
      <t>ジッシ</t>
    </rPh>
    <rPh sb="61" eb="63">
      <t>キバン</t>
    </rPh>
    <rPh sb="63" eb="65">
      <t>コウオン</t>
    </rPh>
    <rPh sb="65" eb="67">
      <t>ケンサ</t>
    </rPh>
    <rPh sb="67" eb="69">
      <t>コウテイ</t>
    </rPh>
    <rPh sb="70" eb="72">
      <t>ツイカ</t>
    </rPh>
    <rPh sb="78" eb="80">
      <t>ドウニュウ</t>
    </rPh>
    <rPh sb="80" eb="82">
      <t>ヨテイ</t>
    </rPh>
    <phoneticPr fontId="1"/>
  </si>
  <si>
    <t>・全String点灯中の電流値変動の繰り返し作動5回実施
・全String点灯⇔ 消灯 の切替の繰り返し動作5回実施
　　基板高温検査工程に追加
　　2/8導入予定</t>
    <phoneticPr fontId="1"/>
  </si>
  <si>
    <t>W003T38372HH</t>
    <phoneticPr fontId="1"/>
  </si>
  <si>
    <t>異常なし</t>
    <rPh sb="0" eb="2">
      <t>イジョウ</t>
    </rPh>
    <phoneticPr fontId="1"/>
  </si>
  <si>
    <t>ＳＴＲＩＮＧ－Ｃ，Ｄ不灯を確認
String
C,D</t>
    <rPh sb="10" eb="11">
      <t>フ</t>
    </rPh>
    <rPh sb="11" eb="12">
      <t>トウ</t>
    </rPh>
    <rPh sb="13" eb="15">
      <t>カクニン</t>
    </rPh>
    <phoneticPr fontId="1"/>
  </si>
  <si>
    <t>ＢＵＣＫ－ＩＣ（IC401)の故障を確認
　TI製IC：TSP92520QDARQ1
　　ICロット№：29ACNQK（22年9月生産）</t>
    <rPh sb="15" eb="17">
      <t>コショウ</t>
    </rPh>
    <rPh sb="18" eb="20">
      <t>カクニン</t>
    </rPh>
    <phoneticPr fontId="1"/>
  </si>
  <si>
    <t>TIへ調査依頼中
次回2/13報告予定</t>
    <rPh sb="3" eb="5">
      <t>チョウサ</t>
    </rPh>
    <rPh sb="5" eb="8">
      <t>イライチュウ</t>
    </rPh>
    <rPh sb="10" eb="12">
      <t>ジカイ</t>
    </rPh>
    <rPh sb="16" eb="18">
      <t>ホウコク</t>
    </rPh>
    <rPh sb="18" eb="20">
      <t>ヨテイ</t>
    </rPh>
    <phoneticPr fontId="1"/>
  </si>
  <si>
    <t>A60</t>
    <phoneticPr fontId="1"/>
  </si>
  <si>
    <t>市場</t>
    <rPh sb="0" eb="2">
      <t>シジョウ</t>
    </rPh>
    <phoneticPr fontId="1"/>
  </si>
  <si>
    <t>GAMC
山西黄河4S店
走行距離30km</t>
    <rPh sb="5" eb="7">
      <t>ヤマニシ</t>
    </rPh>
    <rPh sb="7" eb="9">
      <t>コウガ</t>
    </rPh>
    <rPh sb="11" eb="12">
      <t>テン</t>
    </rPh>
    <rPh sb="13" eb="15">
      <t>ソウコウ</t>
    </rPh>
    <rPh sb="15" eb="17">
      <t>キョリ</t>
    </rPh>
    <phoneticPr fontId="1"/>
  </si>
  <si>
    <t>LOW、TURN、POS、DRL不灯</t>
    <rPh sb="16" eb="17">
      <t>フ</t>
    </rPh>
    <rPh sb="17" eb="18">
      <t>トウ</t>
    </rPh>
    <phoneticPr fontId="1"/>
  </si>
  <si>
    <t>W003T36071HH</t>
    <phoneticPr fontId="1"/>
  </si>
  <si>
    <t>H38372K22Y302674</t>
    <phoneticPr fontId="1"/>
  </si>
  <si>
    <t>H36071K222171040</t>
    <phoneticPr fontId="1"/>
  </si>
  <si>
    <t xml:space="preserve">全不灯
（String A 、B 、C 、 D不灯）
</t>
    <rPh sb="0" eb="1">
      <t>ゼン</t>
    </rPh>
    <rPh sb="1" eb="2">
      <t>フ</t>
    </rPh>
    <rPh sb="2" eb="3">
      <t>トウ</t>
    </rPh>
    <rPh sb="23" eb="24">
      <t>フ</t>
    </rPh>
    <rPh sb="24" eb="25">
      <t>トウ</t>
    </rPh>
    <phoneticPr fontId="1"/>
  </si>
  <si>
    <t xml:space="preserve">マイコンの故障を確認
　マイコン：VDD(41pin)-VSS(40pin)間ショート
              PTB0(34pin)－VSS(40pin)間ショート
　ＮＸＰ製IC：FS32K144H
ＩＣ開封確認の結果、EIPD（電気的誘導物理損傷)が確認された。
解析結果より電気的オーバーストレス(EOS)と判断
</t>
    <rPh sb="80" eb="81">
      <t>カン</t>
    </rPh>
    <rPh sb="90" eb="91">
      <t>セイ</t>
    </rPh>
    <rPh sb="106" eb="108">
      <t>カイフウ</t>
    </rPh>
    <rPh sb="108" eb="110">
      <t>カクニン</t>
    </rPh>
    <rPh sb="111" eb="113">
      <t>ケッカ</t>
    </rPh>
    <phoneticPr fontId="1"/>
  </si>
  <si>
    <t>6/24完了</t>
    <rPh sb="4" eb="6">
      <t>カンリョウ</t>
    </rPh>
    <phoneticPr fontId="1"/>
  </si>
  <si>
    <t>GS8</t>
    <phoneticPr fontId="1"/>
  </si>
  <si>
    <t>LH</t>
    <phoneticPr fontId="1"/>
  </si>
  <si>
    <t>BP29
(2022/12/29)</t>
    <phoneticPr fontId="1"/>
  </si>
  <si>
    <t>№</t>
    <phoneticPr fontId="1"/>
  </si>
  <si>
    <t>三菱電機製 22M ＬＣＭ不具合解析状況</t>
  </si>
  <si>
    <t>三菱電機製 22M ＬＣＭ不具合解析状況</t>
    <phoneticPr fontId="1"/>
  </si>
  <si>
    <t>現品返却中</t>
    <rPh sb="0" eb="2">
      <t>ゲンピン</t>
    </rPh>
    <rPh sb="2" eb="4">
      <t>ヘンキャク</t>
    </rPh>
    <rPh sb="4" eb="5">
      <t>チュウ</t>
    </rPh>
    <phoneticPr fontId="1"/>
  </si>
  <si>
    <t>電子技確認結果
マイコン、BUCK-ICの故障を確認</t>
    <phoneticPr fontId="1"/>
  </si>
  <si>
    <t>品保確認結果
全不灯を確認</t>
    <rPh sb="0" eb="2">
      <t>ヒンポ</t>
    </rPh>
    <rPh sb="2" eb="4">
      <t>カクニン</t>
    </rPh>
    <rPh sb="4" eb="6">
      <t>ケッカ</t>
    </rPh>
    <rPh sb="7" eb="8">
      <t>ゼン</t>
    </rPh>
    <rPh sb="8" eb="9">
      <t>フ</t>
    </rPh>
    <rPh sb="9" eb="10">
      <t>トウ</t>
    </rPh>
    <rPh sb="11" eb="13">
      <t>カクニン</t>
    </rPh>
    <phoneticPr fontId="1"/>
  </si>
  <si>
    <t>マイコン、BUCK-IC故障を確認</t>
    <rPh sb="12" eb="14">
      <t>コショウ</t>
    </rPh>
    <rPh sb="15" eb="17">
      <t>カクニン</t>
    </rPh>
    <phoneticPr fontId="1"/>
  </si>
  <si>
    <t>全不灯</t>
    <rPh sb="0" eb="1">
      <t>ゼン</t>
    </rPh>
    <rPh sb="1" eb="2">
      <t>フ</t>
    </rPh>
    <rPh sb="2" eb="3">
      <t>トウ</t>
    </rPh>
    <phoneticPr fontId="1"/>
  </si>
  <si>
    <t>H33672K22Y260142</t>
    <phoneticPr fontId="1"/>
  </si>
  <si>
    <t>W003T33672</t>
    <phoneticPr fontId="1"/>
  </si>
  <si>
    <t>2/13　三菱電機に返却予定</t>
    <rPh sb="5" eb="7">
      <t>ミツビシ</t>
    </rPh>
    <rPh sb="7" eb="9">
      <t>デンキ</t>
    </rPh>
    <rPh sb="10" eb="12">
      <t>ヘンキャク</t>
    </rPh>
    <rPh sb="12" eb="14">
      <t>ヨテイ</t>
    </rPh>
    <phoneticPr fontId="1"/>
  </si>
  <si>
    <t>三菱電機に対し破損状態を確認中</t>
    <rPh sb="0" eb="2">
      <t>ミツビシ</t>
    </rPh>
    <rPh sb="2" eb="4">
      <t>デンキ</t>
    </rPh>
    <rPh sb="5" eb="6">
      <t>タイ</t>
    </rPh>
    <rPh sb="7" eb="9">
      <t>ハソン</t>
    </rPh>
    <rPh sb="9" eb="11">
      <t>ジョウタイ</t>
    </rPh>
    <rPh sb="12" eb="15">
      <t>カクニンチュウ</t>
    </rPh>
    <phoneticPr fontId="1"/>
  </si>
  <si>
    <t>仕様</t>
    <rPh sb="0" eb="2">
      <t>シヨウ</t>
    </rPh>
    <phoneticPr fontId="1"/>
  </si>
  <si>
    <t>発生時備考</t>
    <rPh sb="0" eb="2">
      <t>ハッセイ</t>
    </rPh>
    <rPh sb="2" eb="3">
      <t>ジ</t>
    </rPh>
    <rPh sb="3" eb="5">
      <t>ビコウ</t>
    </rPh>
    <phoneticPr fontId="1"/>
  </si>
  <si>
    <t>三菱電機製ＬＣＭ不具合解析状況</t>
    <rPh sb="0" eb="2">
      <t>ミツビシ</t>
    </rPh>
    <rPh sb="2" eb="4">
      <t>デンキ</t>
    </rPh>
    <rPh sb="4" eb="5">
      <t>セイ</t>
    </rPh>
    <rPh sb="8" eb="11">
      <t>フグアイ</t>
    </rPh>
    <rPh sb="11" eb="13">
      <t>カイセキ</t>
    </rPh>
    <rPh sb="13" eb="15">
      <t>ジョウキョウ</t>
    </rPh>
    <phoneticPr fontId="1"/>
  </si>
  <si>
    <t>RH/LH</t>
    <phoneticPr fontId="1"/>
  </si>
  <si>
    <t>シリアル№</t>
    <phoneticPr fontId="1"/>
  </si>
  <si>
    <t>スクリーニング(ランプ）</t>
    <phoneticPr fontId="1"/>
  </si>
  <si>
    <t>スクリーニング（ＬＣＭ）</t>
    <phoneticPr fontId="1"/>
  </si>
  <si>
    <t>WSE</t>
    <phoneticPr fontId="1"/>
  </si>
  <si>
    <t>CRV</t>
    <phoneticPr fontId="1"/>
  </si>
  <si>
    <t>3A0A</t>
    <phoneticPr fontId="1"/>
  </si>
  <si>
    <t>RH</t>
    <phoneticPr fontId="1"/>
  </si>
  <si>
    <t>BK26J
2022年9月26日</t>
    <rPh sb="10" eb="11">
      <t>ネン</t>
    </rPh>
    <rPh sb="12" eb="13">
      <t>ガツ</t>
    </rPh>
    <rPh sb="15" eb="16">
      <t>ニチ</t>
    </rPh>
    <phoneticPr fontId="1"/>
  </si>
  <si>
    <t>W003T33671HH</t>
    <phoneticPr fontId="1"/>
  </si>
  <si>
    <t>H33671K229100169</t>
    <phoneticPr fontId="1"/>
  </si>
  <si>
    <t>CPU不動作(IC501)</t>
    <rPh sb="3" eb="4">
      <t>フ</t>
    </rPh>
    <rPh sb="4" eb="6">
      <t>ドウサ</t>
    </rPh>
    <phoneticPr fontId="1"/>
  </si>
  <si>
    <t>【Loグレード】
　①TURN　⇔　PO　の点灯切替の繰り返し動作　　×5回
　②TURN　⇔　消灯　の点灯切替の繰り返し動作　×5回
【3A0A Hiグレード[シーケンシャル仕様])】
　①Lo+Hi　⇔　Lo　の点灯切替の繰り返し動作　　×5回
　②Lo+Hi　⇔　消灯　の点灯切替の繰り返し動作　×5回
【3A0A Hiグレード[ADB仕様]】
　①Lo+ACL　⇔　Lo　の点灯切替の繰り返し動作　　×5回
　②Lo+ACL　⇔　消灯　の点灯切替の繰り返し動作　×5回</t>
    <phoneticPr fontId="1"/>
  </si>
  <si>
    <t>・全String点灯中の電流値変動の繰り返し作動5回実施
・全String点灯⇔ 消灯 の切替の繰り返し動作5回実施
　　基板高温検査工程に追加
　　2/8導入予定</t>
    <phoneticPr fontId="1"/>
  </si>
  <si>
    <t>BM23F
2022年10月23日</t>
    <rPh sb="10" eb="11">
      <t>ネン</t>
    </rPh>
    <rPh sb="13" eb="14">
      <t>ガツ</t>
    </rPh>
    <rPh sb="16" eb="17">
      <t>ニチ</t>
    </rPh>
    <phoneticPr fontId="1"/>
  </si>
  <si>
    <t>VQ</t>
    <phoneticPr fontId="1"/>
  </si>
  <si>
    <t>BN05F
2022年11月5日</t>
    <rPh sb="10" eb="11">
      <t>ネン</t>
    </rPh>
    <rPh sb="13" eb="14">
      <t>ガツ</t>
    </rPh>
    <rPh sb="15" eb="16">
      <t>ニチ</t>
    </rPh>
    <phoneticPr fontId="1"/>
  </si>
  <si>
    <t>LH</t>
    <phoneticPr fontId="1"/>
  </si>
  <si>
    <t>BN20Y
2022年11月20日</t>
    <rPh sb="10" eb="11">
      <t>ネン</t>
    </rPh>
    <rPh sb="13" eb="14">
      <t>ガツ</t>
    </rPh>
    <rPh sb="16" eb="17">
      <t>ニチ</t>
    </rPh>
    <phoneticPr fontId="1"/>
  </si>
  <si>
    <t>CPU不動作(IC501)
Vdd-Vss間ショート</t>
    <rPh sb="3" eb="4">
      <t>フ</t>
    </rPh>
    <rPh sb="4" eb="6">
      <t>ドウサ</t>
    </rPh>
    <rPh sb="21" eb="22">
      <t>カン</t>
    </rPh>
    <phoneticPr fontId="1"/>
  </si>
  <si>
    <t>BP13U
2022年12月13日</t>
    <rPh sb="10" eb="11">
      <t>ネン</t>
    </rPh>
    <rPh sb="13" eb="14">
      <t>ガツ</t>
    </rPh>
    <rPh sb="16" eb="17">
      <t>ニチ</t>
    </rPh>
    <phoneticPr fontId="1"/>
  </si>
  <si>
    <t>WSE保管</t>
    <rPh sb="3" eb="5">
      <t>ホカン</t>
    </rPh>
    <phoneticPr fontId="1"/>
  </si>
  <si>
    <t>WSE→品保（全不灯を確認）
→1/30設技統（蓑田TM）解析予定</t>
    <rPh sb="4" eb="6">
      <t>ヒンポ</t>
    </rPh>
    <rPh sb="7" eb="8">
      <t>ゼン</t>
    </rPh>
    <rPh sb="8" eb="9">
      <t>フ</t>
    </rPh>
    <rPh sb="9" eb="10">
      <t>トウ</t>
    </rPh>
    <rPh sb="11" eb="13">
      <t>カクニン</t>
    </rPh>
    <rPh sb="20" eb="21">
      <t>セツ</t>
    </rPh>
    <rPh sb="22" eb="23">
      <t>トウ</t>
    </rPh>
    <rPh sb="24" eb="26">
      <t>ミノダ</t>
    </rPh>
    <rPh sb="29" eb="31">
      <t>カイセキ</t>
    </rPh>
    <rPh sb="31" eb="33">
      <t>ヨテイ</t>
    </rPh>
    <phoneticPr fontId="1"/>
  </si>
  <si>
    <r>
      <t>襄阳</t>
    </r>
    <r>
      <rPr>
        <sz val="11"/>
        <color theme="1"/>
        <rFont val="游ゴシック"/>
        <family val="3"/>
        <charset val="134"/>
      </rPr>
      <t>车</t>
    </r>
    <r>
      <rPr>
        <sz val="11"/>
        <color theme="1"/>
        <rFont val="ＭＳ Ｐゴシック"/>
        <family val="3"/>
        <charset val="128"/>
      </rPr>
      <t>城</t>
    </r>
    <phoneticPr fontId="1"/>
  </si>
  <si>
    <t>BM16
2022年10月16日</t>
    <rPh sb="9" eb="10">
      <t>ネン</t>
    </rPh>
    <rPh sb="12" eb="13">
      <t>ガツ</t>
    </rPh>
    <rPh sb="15" eb="16">
      <t>ニチ</t>
    </rPh>
    <phoneticPr fontId="1"/>
  </si>
  <si>
    <t>12/23三菱へ返却
報告待ち</t>
    <rPh sb="5" eb="7">
      <t>ミツビシ</t>
    </rPh>
    <rPh sb="8" eb="10">
      <t>ヘンキャク</t>
    </rPh>
    <phoneticPr fontId="1"/>
  </si>
  <si>
    <r>
      <rPr>
        <sz val="11"/>
        <color theme="1"/>
        <rFont val="游ゴシック"/>
        <family val="3"/>
        <charset val="134"/>
      </rPr>
      <t>东</t>
    </r>
    <r>
      <rPr>
        <sz val="11"/>
        <color theme="1"/>
        <rFont val="ＭＳ Ｐゴシック"/>
        <family val="3"/>
        <charset val="128"/>
      </rPr>
      <t>莞永升</t>
    </r>
    <phoneticPr fontId="1"/>
  </si>
  <si>
    <t>1/5三菱へ返却
報告待ち</t>
    <rPh sb="3" eb="5">
      <t>ミツビシ</t>
    </rPh>
    <rPh sb="6" eb="8">
      <t>ヘンキャク</t>
    </rPh>
    <phoneticPr fontId="1"/>
  </si>
  <si>
    <r>
      <rPr>
        <sz val="11"/>
        <color theme="1"/>
        <rFont val="游ゴシック"/>
        <family val="3"/>
        <charset val="134"/>
      </rPr>
      <t>东</t>
    </r>
    <r>
      <rPr>
        <sz val="11"/>
        <color theme="1"/>
        <rFont val="ＭＳ Ｐゴシック"/>
        <family val="3"/>
        <charset val="128"/>
      </rPr>
      <t>莞</t>
    </r>
    <r>
      <rPr>
        <sz val="11"/>
        <color theme="1"/>
        <rFont val="游ゴシック"/>
        <family val="3"/>
        <charset val="134"/>
      </rPr>
      <t>东</t>
    </r>
    <r>
      <rPr>
        <sz val="11"/>
        <color theme="1"/>
        <rFont val="ＭＳ Ｐゴシック"/>
        <family val="3"/>
        <charset val="128"/>
      </rPr>
      <t>仁</t>
    </r>
    <phoneticPr fontId="1"/>
  </si>
  <si>
    <r>
      <t>佛山</t>
    </r>
    <r>
      <rPr>
        <sz val="11"/>
        <color theme="1"/>
        <rFont val="游ゴシック"/>
        <family val="3"/>
        <charset val="134"/>
      </rPr>
      <t>时</t>
    </r>
    <r>
      <rPr>
        <sz val="11"/>
        <color theme="1"/>
        <rFont val="ＭＳ Ｐゴシック"/>
        <family val="3"/>
        <charset val="128"/>
      </rPr>
      <t>利和</t>
    </r>
    <phoneticPr fontId="1"/>
  </si>
  <si>
    <t>BK22
2022年9月22日</t>
    <rPh sb="9" eb="10">
      <t>ネン</t>
    </rPh>
    <rPh sb="11" eb="12">
      <t>ガツ</t>
    </rPh>
    <rPh sb="14" eb="15">
      <t>ニチ</t>
    </rPh>
    <phoneticPr fontId="1"/>
  </si>
  <si>
    <t>DRL/PO不灯</t>
    <rPh sb="6" eb="7">
      <t>フ</t>
    </rPh>
    <rPh sb="7" eb="8">
      <t>トウ</t>
    </rPh>
    <phoneticPr fontId="1"/>
  </si>
  <si>
    <t>MCU</t>
    <phoneticPr fontId="1"/>
  </si>
  <si>
    <t>BUCK-IC(1)</t>
    <phoneticPr fontId="1"/>
  </si>
  <si>
    <t>ST-A</t>
    <phoneticPr fontId="1"/>
  </si>
  <si>
    <t>ST-B</t>
    <phoneticPr fontId="1"/>
  </si>
  <si>
    <t>BUCK-IC(2)</t>
    <phoneticPr fontId="1"/>
  </si>
  <si>
    <t>ST-C</t>
    <phoneticPr fontId="1"/>
  </si>
  <si>
    <t>ST-D</t>
    <phoneticPr fontId="1"/>
  </si>
  <si>
    <t>MELCO管理№</t>
    <rPh sb="5" eb="7">
      <t>カンリ</t>
    </rPh>
    <phoneticPr fontId="1"/>
  </si>
  <si>
    <t>ST管理№</t>
    <rPh sb="2" eb="4">
      <t>カンリ</t>
    </rPh>
    <phoneticPr fontId="1"/>
  </si>
  <si>
    <t>得意先</t>
    <rPh sb="0" eb="3">
      <t>トクイサキ</t>
    </rPh>
    <phoneticPr fontId="1"/>
  </si>
  <si>
    <t>ＢＵＣＫ－ＩＣロット</t>
    <phoneticPr fontId="1"/>
  </si>
  <si>
    <t>ｗａｆｅｒ</t>
    <phoneticPr fontId="1"/>
  </si>
  <si>
    <t>Ａｓｓｅｎｂｌｙ</t>
    <phoneticPr fontId="1"/>
  </si>
  <si>
    <t>HM品番</t>
    <rPh sb="2" eb="4">
      <t>ヒンバン</t>
    </rPh>
    <phoneticPr fontId="1"/>
  </si>
  <si>
    <t>KLZB1-16799</t>
  </si>
  <si>
    <t>-</t>
  </si>
  <si>
    <t>OK</t>
  </si>
  <si>
    <t>SW2(20,21pin)-PGND(13,14)ｼｮｰﾄ</t>
  </si>
  <si>
    <t>33100-3A0</t>
  </si>
  <si>
    <t>OVST検査強化品</t>
    <phoneticPr fontId="1"/>
  </si>
  <si>
    <t>HV検査新規追加（125℃の温度下でD-S間に74Vを200ms印加）</t>
    <rPh sb="2" eb="4">
      <t>ケンサ</t>
    </rPh>
    <rPh sb="4" eb="6">
      <t>シンキ</t>
    </rPh>
    <rPh sb="6" eb="8">
      <t>ツイカ</t>
    </rPh>
    <phoneticPr fontId="1"/>
  </si>
  <si>
    <t>対策開始日</t>
    <rPh sb="0" eb="2">
      <t>タイサク</t>
    </rPh>
    <rPh sb="2" eb="5">
      <t>カイシビ</t>
    </rPh>
    <phoneticPr fontId="1"/>
  </si>
  <si>
    <t>対策</t>
    <rPh sb="0" eb="2">
      <t>タイサク</t>
    </rPh>
    <phoneticPr fontId="1"/>
  </si>
  <si>
    <t>1秒増加(暫定6と合わせ合計4秒増加)</t>
    <phoneticPr fontId="1"/>
  </si>
  <si>
    <t>対策ステータス</t>
    <rPh sb="0" eb="2">
      <t>タイサク</t>
    </rPh>
    <phoneticPr fontId="1"/>
  </si>
  <si>
    <t>SUS</t>
  </si>
  <si>
    <t>ACCORD</t>
  </si>
  <si>
    <t>30AA</t>
  </si>
  <si>
    <t>LH</t>
  </si>
  <si>
    <t>MAP</t>
  </si>
  <si>
    <t>機種</t>
    <rPh sb="0" eb="2">
      <t>キシュ</t>
    </rPh>
    <phoneticPr fontId="1"/>
  </si>
  <si>
    <t>機種１</t>
    <rPh sb="0" eb="2">
      <t>キシュ</t>
    </rPh>
    <phoneticPr fontId="1"/>
  </si>
  <si>
    <t>三菱電機製22MＬＣＭ不具合解析状況</t>
    <rPh sb="0" eb="2">
      <t>ミツビシ</t>
    </rPh>
    <rPh sb="2" eb="4">
      <t>デンキ</t>
    </rPh>
    <rPh sb="4" eb="5">
      <t>セイ</t>
    </rPh>
    <rPh sb="11" eb="14">
      <t>フグアイ</t>
    </rPh>
    <rPh sb="14" eb="16">
      <t>カイセキ</t>
    </rPh>
    <rPh sb="16" eb="18">
      <t>ジョウキョウ</t>
    </rPh>
    <phoneticPr fontId="1"/>
  </si>
  <si>
    <t>自動車機器保証課牧野</t>
    <rPh sb="0" eb="3">
      <t>ジドウシャ</t>
    </rPh>
    <rPh sb="3" eb="5">
      <t>キキ</t>
    </rPh>
    <rPh sb="5" eb="7">
      <t>ホショウ</t>
    </rPh>
    <rPh sb="7" eb="8">
      <t>カ</t>
    </rPh>
    <rPh sb="8" eb="10">
      <t>マキノ</t>
    </rPh>
    <phoneticPr fontId="1"/>
  </si>
  <si>
    <t>331503A0A220M1</t>
  </si>
  <si>
    <t>3310030AA010M1</t>
  </si>
  <si>
    <t>331003A0A030M1</t>
  </si>
  <si>
    <t>331003A0A130M1</t>
  </si>
  <si>
    <t>331003A0A02</t>
  </si>
  <si>
    <t>331003A0A220M1</t>
  </si>
  <si>
    <t>Buck-ICIC302(SW1-PGND)andmicrocomputer(VDD-GND)ｼｮｰﾄ</t>
  </si>
  <si>
    <t>331503A0A030M1</t>
  </si>
  <si>
    <t>3310030AA110M1</t>
  </si>
  <si>
    <t>非再現異常なし</t>
  </si>
  <si>
    <t>Buck-IC(SW2-PGND)andmicrocomputer(VDD-GND).</t>
  </si>
  <si>
    <t>3315030AA010M1</t>
  </si>
  <si>
    <t>LowBeamInop-LETBCAN_DTC</t>
  </si>
  <si>
    <t>TurnSignalINOP</t>
  </si>
  <si>
    <t>不良選別項目</t>
    <rPh sb="0" eb="2">
      <t>フリョウ</t>
    </rPh>
    <rPh sb="2" eb="4">
      <t>センベツ</t>
    </rPh>
    <rPh sb="4" eb="6">
      <t>コウモク</t>
    </rPh>
    <phoneticPr fontId="1"/>
  </si>
  <si>
    <t>BUCK-IC</t>
  </si>
  <si>
    <t>MCU+BUCK-IC</t>
  </si>
  <si>
    <t>T対策2</t>
    <rPh sb="1" eb="3">
      <t>タイサク</t>
    </rPh>
    <phoneticPr fontId="1"/>
  </si>
  <si>
    <t>T対策3</t>
    <rPh sb="1" eb="3">
      <t>タイサク</t>
    </rPh>
    <phoneticPr fontId="1"/>
  </si>
  <si>
    <t>M対策2</t>
    <rPh sb="1" eb="3">
      <t>タイサク</t>
    </rPh>
    <phoneticPr fontId="1"/>
  </si>
  <si>
    <t>M対策1</t>
    <rPh sb="1" eb="3">
      <t>タイサク</t>
    </rPh>
    <phoneticPr fontId="1"/>
  </si>
  <si>
    <t>M対策4</t>
    <rPh sb="1" eb="3">
      <t>タイサク</t>
    </rPh>
    <phoneticPr fontId="1"/>
  </si>
  <si>
    <t>M対策3</t>
    <rPh sb="1" eb="3">
      <t>タイサク</t>
    </rPh>
    <phoneticPr fontId="1"/>
  </si>
  <si>
    <t>M対策5</t>
    <rPh sb="1" eb="3">
      <t>タイサク</t>
    </rPh>
    <phoneticPr fontId="1"/>
  </si>
  <si>
    <t>ワランティ</t>
    <phoneticPr fontId="1"/>
  </si>
  <si>
    <t>〇</t>
  </si>
  <si>
    <t>×</t>
  </si>
  <si>
    <t>あり</t>
  </si>
  <si>
    <t>信-1</t>
  </si>
  <si>
    <t>3A0A</t>
  </si>
  <si>
    <t/>
  </si>
  <si>
    <t>IIHS</t>
  </si>
  <si>
    <t>搬入</t>
  </si>
  <si>
    <t>HCM</t>
  </si>
  <si>
    <t>DRL/FT/POS/SM不灯</t>
  </si>
  <si>
    <t>HCMQMP195635(NC39265)</t>
  </si>
  <si>
    <t>W003T35972XB</t>
  </si>
  <si>
    <t>X35972122X252991</t>
  </si>
  <si>
    <t>DRL/FT/POS/SM不灯を確認(STRING-Bが点灯しない)</t>
  </si>
  <si>
    <t>異常なし</t>
  </si>
  <si>
    <t>SW2(20,21pin)-PGND(13,14pin)ｼｮｰﾄ</t>
  </si>
  <si>
    <t>200792022年1月</t>
  </si>
  <si>
    <t>26A02NK22年6月</t>
  </si>
  <si>
    <t>BUCKICのSTRING-B出力異常(ｼｮｰﾄ破壊)TI製IC:TSP92520QDARQ1ICﾛｯﾄ№:26A02NK(22年6月生産)TI解析結果SW2用FETに電気的誘導物理損傷(EIPD)が確認された｡解析結果より電気的ｵｰﾊﾞｰｽﾄﾚｽ(EOS)と判断結論EOSは車両側GNDからLEDﾄﾞﾗｲﾊﾞｰ基板を介してBUCK-ICに印加されたものと推定</t>
  </si>
  <si>
    <t>再現試験実施1/31までｺﾈｸﾀ各端子へのESD印加による再現試験ではBUCK-ICの故障再現せず｡FTAにて追加再現試験方法模索中｡破壊ﾓｰﾄﾞについてFTの提出済み</t>
  </si>
  <si>
    <t>信-2</t>
  </si>
  <si>
    <t>RH</t>
  </si>
  <si>
    <t>ELP</t>
  </si>
  <si>
    <t>DRL/FT/POS/SM不灯DTCｴﾗｰ:B276(R側TURN光源出力異常</t>
  </si>
  <si>
    <t>SQMQMP028677</t>
  </si>
  <si>
    <t>W003T38872XB</t>
  </si>
  <si>
    <t>X38872122Z140967</t>
  </si>
  <si>
    <t>DRL/FT/POS/SM不灯を確認(STRING-Bが点灯しない)STRING-Bｴﾗｰ履歴あり</t>
  </si>
  <si>
    <t>SW2(20,21pin)-PGND(14pin)ｼｮｰﾄ</t>
  </si>
  <si>
    <t>209842122年5月</t>
  </si>
  <si>
    <t>29C697K22年9月</t>
  </si>
  <si>
    <t>BUCKICのSTRING-B出力異常(ｼｮｰﾄ破壊)TI製ICICﾛｯﾄ№:29C697K(22年9月生産)X線異常なしV-I特性:20､21-PGND間ｼｮｰﾄTIにて現品確認し1件目と同様の故障状態となっていることを確認三菱電機開封確認結果･SW2-PGND間のFET部分の破損箇所を確認･断面解析にてEOSｽﾄﾚｽによるｼﾘｺﾝﾋﾟﾝﾎｰﾙ(溶解痕)を確認→TIの見解では､GNDからのEOSにより発生したもの</t>
  </si>
  <si>
    <t>三菱電機にて同事象の再現ができていないため､再現方法検討中</t>
  </si>
  <si>
    <t>全-1</t>
  </si>
  <si>
    <t>HV</t>
  </si>
  <si>
    <t>市場</t>
  </si>
  <si>
    <t>全不灯</t>
  </si>
  <si>
    <t>208343-469727</t>
  </si>
  <si>
    <t>331503A0A21</t>
  </si>
  <si>
    <t>H35971K22X100835</t>
  </si>
  <si>
    <t>不動作を確認(通信不能)</t>
  </si>
  <si>
    <t>･ｺﾈｸﾀのﾊｳｼﾞﾝｸﾞ部に白い異物ありCN付着異物確認結果製品には使用していない成分､C,O,Caを主体とした炭酸塩(炭酸塩の発生源としては､水分残渣や石灰などが挙げられる)･異物付着,部品損傷,はんだ付け異常など無し</t>
  </si>
  <si>
    <t>NG</t>
  </si>
  <si>
    <t>UDIM1(2pin)V5D(8pin)SW1(28,29pin)LHI(26pin)CSP1(pin31)CSN1(pin32)vsGNDsｼｮｰﾄ</t>
  </si>
  <si>
    <t>VIN2(pin11,12)UDIM2(pin15)COMP2(pin16)CSP2(pin18)BST2(pin19)SW2(20,21pin)vsGNDsｼｮｰﾄ10pin(GND)-14pin(PGND)ｼｮｰﾄ</t>
  </si>
  <si>
    <t>204522322年3月</t>
  </si>
  <si>
    <t>26C0LHK22年6月</t>
  </si>
  <si>
    <t>【BUCK-IC:TI】TIと解析結果を共有し､EOSにより同障害を再現させる方法を検討中【ﾏｲｺﾝ:NXP】NXPは､外部からEOSを印加することによってこの障害状態が発生したと判断し､さらなる調査を拒否当該部品は三菱電機にて解析実施→済</t>
  </si>
  <si>
    <t>なし</t>
  </si>
  <si>
    <t>全-2</t>
  </si>
  <si>
    <t>工程内</t>
  </si>
  <si>
    <t>NC41025</t>
  </si>
  <si>
    <t>X38872122Z271508</t>
  </si>
  <si>
    <t>･異物付着,部品損傷,はんだ付け異常など無し</t>
  </si>
  <si>
    <t>20pin､21pin(SW2)-14pin(PGND)ｼｮｰﾄ10pin(GND)-14pin(PGND)ｼｮｰﾄ</t>
  </si>
  <si>
    <t>204868922年3月</t>
  </si>
  <si>
    <t>26D4P4K22年6月</t>
  </si>
  <si>
    <t>【BUCK-IC:TI】TIと解析結果を共有し､EOSにより同障害を再現させる方法を検討中【ﾏｲｺﾝ:NXP】NXPは､外部からEOSを印加することによってこの障害状態が発生したと判断し､とさらなる調査を拒否当該部品はﾒﾙｺに返送され､ﾒﾙｺにて解析実施予定</t>
  </si>
  <si>
    <t>そ-1</t>
  </si>
  <si>
    <t>DTCｴﾗｰB276A(R側TURN光源出力異常)Looseconnection</t>
  </si>
  <si>
    <t>X388721231031725</t>
  </si>
  <si>
    <t>異常なしSTRING-Bｴﾗｰ履歴あり</t>
  </si>
  <si>
    <t>LCMとしては異常無し｡高温低温確認においても再現せず灯体側の接続に問題があったものと推定</t>
  </si>
  <si>
    <t>調査完了</t>
  </si>
  <si>
    <t>全-3</t>
  </si>
  <si>
    <t>HL点灯しない</t>
  </si>
  <si>
    <t>HCMQMP196242</t>
  </si>
  <si>
    <t>X35972122Z222242</t>
  </si>
  <si>
    <t>CAN通信でLCMと通信不可全不灯を確認</t>
  </si>
  <si>
    <t>SW1(28,29pin)-PGND(14pin)ｼｮｰﾄ30pin(BST1)-7,10pin(GND)ｼｮｰﾄ</t>
  </si>
  <si>
    <t>CSP2(pin18)-7,10pin(GND)ｼｮｰﾄ</t>
  </si>
  <si>
    <t>209982922年6月</t>
  </si>
  <si>
    <t>29ACN7K22年9月</t>
  </si>
  <si>
    <t>ﾏｲｺﾝ､BUCK-ICの故障を確認BUCK-IC:SW1-GND､SW2-GND間ｼｮｰﾄ確認･X線分析により､Pin5(VIN1)Cuﾊﾟﾀｰﾝﾉ破損確認･GNDsと複数ﾋﾟﾝ(1,5,6,8,17,26,28,29,30,31,32)のｼｮｰﾄ確認ﾏｲｺﾝ:5V供給端子異常確認･7,41pin(VDD)-10,40pin(VSS)間ｼｮｰﾄ状態を確認</t>
  </si>
  <si>
    <t>BUCK-IC:三菱電機にて開封確認実施2/27報告予定ﾏｲｺﾝ:NXPに解析依頼実施</t>
  </si>
  <si>
    <t>そ-2</t>
  </si>
  <si>
    <t>FT点滅が早い</t>
  </si>
  <si>
    <t>客先より現品紛失の連絡あり車両での確認状況は客先より教えていただけない当該ｸﾚｰﾑ情報についてｷｬﾝｾﾙ要求予定</t>
  </si>
  <si>
    <t>信-3</t>
  </si>
  <si>
    <t>ｳｨｸﾞﾙ正常ｴｰｼﾞﾝｸﾞ正常点灯検査にて発生</t>
  </si>
  <si>
    <t>DRL,FT,SM不灯</t>
  </si>
  <si>
    <t>NC41672</t>
  </si>
  <si>
    <t>X359721231050872</t>
  </si>
  <si>
    <t>STJ確認結果･DRL/FT/POS/SM不灯を確認</t>
  </si>
  <si>
    <t>208521122年5月</t>
  </si>
  <si>
    <t>28CS8JK22年8月</t>
  </si>
  <si>
    <t>STJ確認結果･BUCK-ICの損傷を確認三菱電機確認結果･BUCK-ICSW2-PGNDｼｮｰﾄ,MELCO確認中</t>
  </si>
  <si>
    <t>2/13三菱電機解析開始解析ｽｹｼﾞｭｰﾙ確認中</t>
  </si>
  <si>
    <t>そ-3</t>
  </si>
  <si>
    <t>LETFailureB2763(HLBackUp異常)発生</t>
  </si>
  <si>
    <t>HCMQMP196268(NC41417)</t>
  </si>
  <si>
    <t>X35972122Z012470</t>
  </si>
  <si>
    <t>STJ確認結果･点灯状態正常</t>
  </si>
  <si>
    <t>STJ確認結果･異常なし</t>
  </si>
  <si>
    <t>良品判定</t>
  </si>
  <si>
    <t>3/1調査完了</t>
  </si>
  <si>
    <t>そ-4</t>
  </si>
  <si>
    <t>最終点灯検査</t>
  </si>
  <si>
    <t>DTCｴﾗｰｺｰﾄﾞ:B276E(光源ｻｰﾐｽﾀ-異常)</t>
  </si>
  <si>
    <t>NC42264</t>
  </si>
  <si>
    <t>X388721231313439</t>
  </si>
  <si>
    <t>STJ確認結果点灯状態正常</t>
  </si>
  <si>
    <t>全-4</t>
  </si>
  <si>
    <t>Normal</t>
  </si>
  <si>
    <t>全不灯CANDTCREADERROR</t>
  </si>
  <si>
    <t>SOMQMP030836(NC43006)</t>
  </si>
  <si>
    <t>X359721231040447</t>
  </si>
  <si>
    <t>STJ確認結果StringAﾊｲｻｲﾄﾞ･ﾛｰｻｲﾄﾞｽｲｯﾁ及びﾏｲｺﾝ電源破損</t>
  </si>
  <si>
    <t>SW1(28,29pin)-PGND(3,4pin)ｼｮｰﾄ</t>
  </si>
  <si>
    <t>9C699K22年9月</t>
  </si>
  <si>
    <t>BUCK-ICとMCU故障ｽｲｯﾁﾝｸﾞ端子(SW1)､PGND(PGND)､VIN1間の下層あるFET素子が破壊されている｡破壊ｽﾄﾚｽはSW端子からVIN端子やPGND端子側に流れたと推定｡EOS印加orBUCK-IC劣化要因と推測</t>
  </si>
  <si>
    <t>3/2三菱電機へ解析依頼実施3/23一次報告済</t>
  </si>
  <si>
    <t>信-4</t>
  </si>
  <si>
    <t>SM/Pos/DRL/FT不灯DTCｴﾗｰｺｰﾄﾞB2768:ﾌﾛﾝﾄR側Pos光源出力異常B276A:ﾌﾛﾝﾄR側FT光源出力異常</t>
  </si>
  <si>
    <t>SOMQMP030839(NC43008)</t>
  </si>
  <si>
    <t>X35972122Z221789</t>
  </si>
  <si>
    <t>STJ確認結果･StringBﾛｰｻｲﾄﾞｽｲｯﾁ破損</t>
  </si>
  <si>
    <t>BUCK-IC故障MELCO調査中</t>
  </si>
  <si>
    <t>全-5</t>
  </si>
  <si>
    <t>組立正常点灯修理中不灯となる</t>
  </si>
  <si>
    <t>HMIN</t>
  </si>
  <si>
    <t>全不灯DTCｴﾗｰ:B2766</t>
  </si>
  <si>
    <t>SOMQMP031308(NC43377)</t>
  </si>
  <si>
    <t>X359721231020631</t>
  </si>
  <si>
    <t>STJ確認結果全不灯を確認StringAﾛｰｻｲﾄﾞFETのｼｮｰﾄ故障</t>
  </si>
  <si>
    <t>SW1(28,29pin)-PGND(14pin)ｼｮｰﾄVIN(5,6pin)損傷</t>
  </si>
  <si>
    <t>29C691K22年9月</t>
  </si>
  <si>
    <t>ｽｲｯﾁﾝｸﾞ端子(SW1)､PGND(PGND)､VIN1間の下層あるFET素子が破壊されている｡破壊ｽﾄﾚｽはSW端子からVIN端子やPGND端子側に流れたと推定される｡EOS印加orBUCK-IC劣化要因と推測</t>
  </si>
  <si>
    <t>3/3SUS→STJ発送#525621589950(FedEx)3/6品保→電子技解析依頼実施3/7三菱電機ﾍ解析依頼実施</t>
  </si>
  <si>
    <t>全-7</t>
  </si>
  <si>
    <t>ICE</t>
  </si>
  <si>
    <t>全不灯Nofunctionslighting</t>
  </si>
  <si>
    <t>CAS-208431-368822-2023NC43680</t>
  </si>
  <si>
    <t>W003T35971(青点あり)</t>
  </si>
  <si>
    <t>H35971K22X104349</t>
  </si>
  <si>
    <t>STJ確認結果全不灯を確認C212(昇圧ﾚｷﾞｭﾚｰﾀ出力のｾﾗﾐｯｸｺﾝﾃﾞﾝｻ)焼損</t>
  </si>
  <si>
    <t>Boost回路D202とC212損傷｡C212がｼｮｰﾄ故障したことでBATTから過電流が流れD202が損傷したと推測｡MELCO調査中(~3/31)</t>
  </si>
  <si>
    <t>3/5SUS→STJ発送3/8品保→電子技解析依頼実施3/9三菱電機解析依頼実施3/28一次報告済</t>
  </si>
  <si>
    <t>D202 C212</t>
  </si>
  <si>
    <t>全-6</t>
  </si>
  <si>
    <t>CAS-208405-208203-2023NC43689</t>
  </si>
  <si>
    <t>X35972122Z130212</t>
  </si>
  <si>
    <t>STJ確認結果全不灯を確認StringBﾊｲｻｲﾄﾞ･ﾛｰｻｲﾄﾞ及び5V電源-GND間ｼｮｰﾄ</t>
  </si>
  <si>
    <t>26A09YK22年6月</t>
  </si>
  <si>
    <t>StringBﾊｲｻｲﾄﾞ･ﾛｰｻｲﾄﾞおよび5V電源-GND間ｼｮｰﾄ</t>
  </si>
  <si>
    <t>3/5SUS→STJ発送3/8品保→電子技解析依頼実施3/9三菱電機解析依頼実施</t>
  </si>
  <si>
    <t>DRL/FT/SM不灯</t>
  </si>
  <si>
    <t>D#207882C#646359</t>
  </si>
  <si>
    <t>X35972122Z202897</t>
  </si>
  <si>
    <t>SW1(28,29p)-PGND(3,4p)ｼｮｰﾄ</t>
  </si>
  <si>
    <t>28CS8YK22年8月</t>
  </si>
  <si>
    <t>BUCK-IC(IC302)故障</t>
  </si>
  <si>
    <t>STJ解析待ち</t>
  </si>
  <si>
    <t>D#207565C#546297</t>
  </si>
  <si>
    <t>X35972122Z072298</t>
  </si>
  <si>
    <t>29ACNRK22年9月</t>
  </si>
  <si>
    <t>D#208833C#396411</t>
  </si>
  <si>
    <t>H35972K231070570</t>
  </si>
  <si>
    <t>C212損傷,調査中</t>
  </si>
  <si>
    <t>C212</t>
  </si>
  <si>
    <t>DRL/FT/SM不灯DTCｴﾗｰｺｰﾄﾞ:B275A(L側TURN光源出力異常)</t>
  </si>
  <si>
    <t>HCMQMP197444</t>
  </si>
  <si>
    <t>33150-3A0A-A210-M1</t>
  </si>
  <si>
    <t>H35972K233130394</t>
  </si>
  <si>
    <t>STJ確認結果StringBﾛｰｻｲﾄﾞｼｮｰﾄ</t>
  </si>
  <si>
    <t>216194222年8月</t>
  </si>
  <si>
    <t>2CAV9PK22年12月</t>
  </si>
  <si>
    <t>4/13SUS→STJ発送4/19着予定TRK#3969498043174/20市品保→ﾊｰﾄﾞ技解析依頼実施4/24三菱電機解析依頼実施</t>
  </si>
  <si>
    <t>D#208546C#363149</t>
  </si>
  <si>
    <t>X35972122Z150471</t>
  </si>
  <si>
    <t>D#207796C#137558</t>
  </si>
  <si>
    <t>H35972K231070091</t>
  </si>
  <si>
    <t>KLZB1-16794</t>
  </si>
  <si>
    <t>210258422年6月</t>
  </si>
  <si>
    <t>2AAGL9K22年10月</t>
  </si>
  <si>
    <t>D#208822C#297921</t>
  </si>
  <si>
    <t>H35972K233092385</t>
  </si>
  <si>
    <t>214846422年8月</t>
  </si>
  <si>
    <t>2BCF5JK22年11月</t>
  </si>
  <si>
    <t>D#208067C#046148</t>
  </si>
  <si>
    <t>X359721234113897</t>
  </si>
  <si>
    <t>KLZB1-16852</t>
  </si>
  <si>
    <t>ﾗﾝﾌﾟ不灯確認ｴﾗｰｺｰﾄﾞ:CAN</t>
  </si>
  <si>
    <t>2BCNK9K22年11月</t>
  </si>
  <si>
    <t>7/26STJ➔MELCO解析依頼実施</t>
  </si>
  <si>
    <t>D#208696C#342001</t>
  </si>
  <si>
    <t>X359721233220861</t>
  </si>
  <si>
    <t>SW2(20,21p)-PGND(13,14p)ｼｮｰﾄ</t>
  </si>
  <si>
    <t>210253122年6月</t>
  </si>
  <si>
    <t>2AC0LTK22年10月</t>
  </si>
  <si>
    <t>DTCｴﾗｰB2761発生</t>
  </si>
  <si>
    <t>NC037528</t>
  </si>
  <si>
    <t>W0038872XB</t>
  </si>
  <si>
    <t>X388721236070118</t>
  </si>
  <si>
    <t>KLZB-16815</t>
  </si>
  <si>
    <t>異常なしB2760ﾛｸﾞあり(ﾛｸﾞｸﾘｱで再ｴﾗｰなし)</t>
  </si>
  <si>
    <t>LCM異常なし</t>
  </si>
  <si>
    <t>7/4STJ➔MELCO解析依頼実施ｸﾛｰｽﾞ</t>
  </si>
  <si>
    <t>SOMQMP038406</t>
  </si>
  <si>
    <t>X359721236240773</t>
  </si>
  <si>
    <t>KLZB1-16843A</t>
  </si>
  <si>
    <t>ﾗﾝﾌﾟ不灯確認ｴﾗｰｺｰﾄﾞ:3010</t>
  </si>
  <si>
    <t>31AZT4K23年1月</t>
  </si>
  <si>
    <t>7/24STJ➔MELCO解析依頼実施9/20MELCO二次報告</t>
  </si>
  <si>
    <t>X359721233241173</t>
  </si>
  <si>
    <t>KLZB1-16798</t>
  </si>
  <si>
    <t>219471922年10月</t>
  </si>
  <si>
    <t>32AKKTK23年2月</t>
  </si>
  <si>
    <t>D#207435C#498871</t>
  </si>
  <si>
    <t>X359721235094189</t>
  </si>
  <si>
    <t>KLZB1-16853</t>
  </si>
  <si>
    <t>31A2T4K23年1月</t>
  </si>
  <si>
    <t>DRL不灯</t>
  </si>
  <si>
    <t>D#208641C#547346</t>
  </si>
  <si>
    <t>X359721233240614</t>
  </si>
  <si>
    <t>KLZB1-16854</t>
  </si>
  <si>
    <t>信号灯不灯を確認ｴﾗｰｺｰﾄﾞ:5140</t>
  </si>
  <si>
    <t>32AKKRK23年2月</t>
  </si>
  <si>
    <t>全不灯NOFUNCTIONDTCReadError</t>
  </si>
  <si>
    <t>HCMQMP198684</t>
  </si>
  <si>
    <t>X359721236240784</t>
  </si>
  <si>
    <t>ﾗﾝﾌﾟ不灯確認ｴﾗｰｺｰﾄﾞ:3010CAN</t>
  </si>
  <si>
    <t>7/31STJ➔MELCO解析依頼実施10/31MELCO二次報告</t>
  </si>
  <si>
    <t>SOMQMP039633</t>
  </si>
  <si>
    <t>X38872237210134</t>
  </si>
  <si>
    <t>IC302SW1(28,29p)-PGND(3,4p)ｼｮｰﾄ</t>
  </si>
  <si>
    <t>2BD00TK22年11月</t>
  </si>
  <si>
    <t>IC302SW1-PGND､VDD-GNDｼｮｰﾄ</t>
  </si>
  <si>
    <t>8/3SUS⇒STJ発送TR#6503359213278/7STJ➔MELCO解析依頼実施9/20MELCO二次報告</t>
  </si>
  <si>
    <t>SOMQMP039694</t>
  </si>
  <si>
    <t>X388721237212304</t>
  </si>
  <si>
    <t>Buck-ICIC302SW1(28,29p)-PGND(3,4p)ｼｮｰﾄ</t>
  </si>
  <si>
    <t>2CA1F6K22年12月</t>
  </si>
  <si>
    <t>8/4SUS⇒STJ発送TR#6503359213718/11STJ⇒MELCO解析依頼実施9/20MELCO二次報告</t>
  </si>
  <si>
    <t>◎</t>
  </si>
  <si>
    <t>SOMQMP039868</t>
  </si>
  <si>
    <t>X359721237220159</t>
  </si>
  <si>
    <t>KLZB1-16892A</t>
  </si>
  <si>
    <t>SW1(28,29p)-PGND(3,4p)short</t>
  </si>
  <si>
    <t>SW2(20,21p)-PGND(13,14p)short</t>
  </si>
  <si>
    <t>Buck-ICIC302SW1(28,29p)-PGND(3,4p)shortSW2(20,21p)-PGND(13,14p)short</t>
  </si>
  <si>
    <t>8/8SUS⇒STJ発送TR#6503359214198/21STJ⇒MELCO解析依頼実施TR#4838-9253-09848/31MELCO一次報告9/20MELCO二次報告</t>
  </si>
  <si>
    <t>PH308583</t>
  </si>
  <si>
    <t>33100-3A0-A01</t>
  </si>
  <si>
    <t>X359721236081802</t>
  </si>
  <si>
    <t>34CD79K23年4月</t>
  </si>
  <si>
    <t>Buck-ICIC302(SW2-PGND)ｼｮｰﾄ及び､ﾏｲｺﾝ(VDD-GND)ｼｮｰﾄ</t>
  </si>
  <si>
    <t>8/25SUS⇒STJ発送TR#6503359216368/28STJ⇒MELCO解析依頼実施TR#4838-9253-09629/5MELCO一次報告</t>
  </si>
  <si>
    <t>X388721238021185</t>
  </si>
  <si>
    <t>SW2(20,21p)-PGND(13,14p)</t>
  </si>
  <si>
    <t>36CKNVK23年6月</t>
  </si>
  <si>
    <t>Buck-ICIC-302(SW2-PGND)ｼｮｰﾄ及び､ﾏｲｺﾝ(VDD-GND)ｼｮｰﾄ</t>
  </si>
  <si>
    <t>9/12SUS⇒STJ発送TR#6503359220699/19STJ⇒MELCO解析依頼実施TR#4838-9253-043510/25MELCO二次報告</t>
  </si>
  <si>
    <t>MMIN</t>
  </si>
  <si>
    <t>D#206602C#712431</t>
  </si>
  <si>
    <t>33150-3A0</t>
  </si>
  <si>
    <t>H35972K232220640</t>
  </si>
  <si>
    <t>28C8GQK22年8月</t>
  </si>
  <si>
    <t>9/14SUS⇒STJ発送TR#6503359221839/25STJ⇒MELCO解析依頼実施TR#4838-9253-054210/27MELCO2次報告</t>
  </si>
  <si>
    <t>D#006787C#005261</t>
  </si>
  <si>
    <t>33150-30A</t>
  </si>
  <si>
    <t>X388721235180311</t>
  </si>
  <si>
    <t>2CAGJ3K22年12月</t>
  </si>
  <si>
    <t>D#208195C#273506</t>
  </si>
  <si>
    <t>X388721236230645</t>
  </si>
  <si>
    <t>ﾗﾝﾌﾟ不灯確認ｴﾗｰｺｰﾄﾞ:B2756､B2757､B2758</t>
  </si>
  <si>
    <t>C212破損</t>
  </si>
  <si>
    <t>9/14SUS⇒STJ発送TR#6503359221839/25STJ⇒MELCO解析依頼実施TR#4838-9253-0542</t>
  </si>
  <si>
    <t>X388721239071485</t>
  </si>
  <si>
    <t>KLZB1-16973B</t>
  </si>
  <si>
    <t>SW1(28,29pin)-PGND(3,4pin)</t>
  </si>
  <si>
    <t>36AQP23年6月</t>
  </si>
  <si>
    <t>Buck-ICIC-302(SW1-PGND)ｼｮｰﾄ及び､ﾏｲｺﾝ(VDD-GND)ｼｮｰﾄ</t>
  </si>
  <si>
    <t>9/21SUS⇒STJ石黒KR持ち帰り9/25STJ⇒MELCO解析依頼実施TR#4838-9253-054210/4MELCO一次報告10/17MELCO二次報告10/31MELCO三次報告</t>
  </si>
  <si>
    <t>全不灯B2756</t>
  </si>
  <si>
    <t>331503A030M1</t>
  </si>
  <si>
    <t>X359721239180856</t>
  </si>
  <si>
    <t>ﾗﾝﾌﾟ不灯確認ｴﾗｰｺｰﾄﾞ:5010</t>
  </si>
  <si>
    <t>36A9P1K23年6月</t>
  </si>
  <si>
    <t>Buck-ICIC302SW1(28,29p)-PGND(3,4p)short</t>
  </si>
  <si>
    <t>10/3SUS⇒STJ購買部渡辺さん持ち帰り10/3STJ⇒MELCO解析依頼実施TR#4845-9910-005310/16MELCO一次報告10/30MELCO二次報告</t>
  </si>
  <si>
    <t>Hi､Lo不灯ｴﾗｰｺｰﾄﾞ:B2766,B2767,U1280</t>
  </si>
  <si>
    <t>D#208938C#325686</t>
  </si>
  <si>
    <t>X388721236220592</t>
  </si>
  <si>
    <t>Hi/Lo不灯ｴﾗｰｺｰﾄﾞ:5110Teltail</t>
  </si>
  <si>
    <t>33A7T3K23年3月</t>
  </si>
  <si>
    <t>10/2SUS⇒STJ発送TR#65033592245910/9STJ⇒MELCO解析依頼実施TR#4845-9910-003110/18MELCO一次報告</t>
  </si>
  <si>
    <t>D#208823C#324921</t>
  </si>
  <si>
    <t>X388721236290025</t>
  </si>
  <si>
    <t>35A55RK23年5月</t>
  </si>
  <si>
    <t>IC302SW2(20,21p)-PGND(13,14p)ｼｮｰﾄ及び､ﾏｲｺﾝ(VDD-GND)ｼｮｰﾄ</t>
  </si>
  <si>
    <t>Hi､Lo不灯ｴﾗｰｺｰﾄﾞ:B2766,B2767</t>
  </si>
  <si>
    <t>D#208148C#099891</t>
  </si>
  <si>
    <t>32100-30A</t>
  </si>
  <si>
    <t>X388721235100307</t>
  </si>
  <si>
    <t>KLZB1-16999</t>
  </si>
  <si>
    <t>33AHC4K23年3月</t>
  </si>
  <si>
    <t>IC302SW1(28,29p)-PGND(3,4p)ｼｮｰﾄ及び､ﾏｲｺﾝ(VDD-GND)ｼｮｰﾄ</t>
  </si>
  <si>
    <t>#600250</t>
  </si>
  <si>
    <t>X388721234050117</t>
  </si>
  <si>
    <t>SW2(20,21p)-PGND(13,14p)shor</t>
  </si>
  <si>
    <t>2BADYYK22年11月</t>
  </si>
  <si>
    <t>IC302SW1(28,29p)-PGND(3,4p)SW2(20,21p)-PGND(13,14p)shｼｮｰﾄ及び､ﾏｲｺﾝ(VDD-GND)ｼｮｰﾄ</t>
  </si>
  <si>
    <t>●</t>
  </si>
  <si>
    <t>全不灯NOFUNCTION</t>
  </si>
  <si>
    <t>X35972123X284593</t>
  </si>
  <si>
    <t>ﾗﾝﾌﾟ不灯CAN通信異常</t>
  </si>
  <si>
    <t>39A37RK23年9月</t>
  </si>
  <si>
    <t>11/17SUS⇒STJ発送TR#65033592302111/24着予定</t>
  </si>
  <si>
    <t>SOMQMP048395</t>
  </si>
  <si>
    <t>X38872123Z221559</t>
  </si>
  <si>
    <t>ﾗﾝﾌﾟ不灯ｴﾗｰｺｰﾄﾞ:5010</t>
  </si>
  <si>
    <t>Boostｺﾝﾊﾞｰﾀ(IC201)5,6pinLOWﾚﾍﾞﾙ</t>
  </si>
  <si>
    <t>1/23STJ➝MELCO発送</t>
  </si>
  <si>
    <t>IC201</t>
  </si>
  <si>
    <t>SOMQMP049327</t>
  </si>
  <si>
    <t>X359721241094117</t>
  </si>
  <si>
    <t>ﾗﾝﾌﾟ不灯CAN通信異常3010</t>
  </si>
  <si>
    <t>SW1(28,29pin)PGND(3,4pin)ｼｮｰﾄ</t>
  </si>
  <si>
    <t>3ACSQVK23年10月</t>
  </si>
  <si>
    <t>2/15STJ➝MELCO発送TR#4845991008712/26一次回答</t>
  </si>
  <si>
    <t>SOMQMP049318</t>
  </si>
  <si>
    <t>X388721241040428</t>
  </si>
  <si>
    <t>3ACSQXK23年10月</t>
  </si>
  <si>
    <t>最終点灯検査(ｴｰｼﾞﾝｸﾞ工程のｽｸﾘｰﾆﾝｸﾞ実施後)</t>
  </si>
  <si>
    <t>FT/DRL/SM不灯</t>
  </si>
  <si>
    <t>NCQ-IR-00002696</t>
  </si>
  <si>
    <t>X388721241043354</t>
  </si>
  <si>
    <t>Po/DRL不灯5140ｴﾗｰ</t>
  </si>
  <si>
    <t>39AZ19K23年9月</t>
  </si>
  <si>
    <t>IC302SW2(20,21p)-PGND(13,14p)shｼｮｰﾄ</t>
  </si>
  <si>
    <t>Low不灯</t>
  </si>
  <si>
    <t>SOMQMP050325</t>
  </si>
  <si>
    <t>X388721241084059</t>
  </si>
  <si>
    <t>Low不灯その後正常点灯B2766-low光源出力異常</t>
  </si>
  <si>
    <t>3/4STJ➝MELCO発送TR#4845-9910-18953/14一次回答</t>
  </si>
  <si>
    <t>非再現</t>
  </si>
  <si>
    <t>SOMQMP050638</t>
  </si>
  <si>
    <t>X388721241162039</t>
  </si>
  <si>
    <t>3/12STJ➝MELCO発送TR#4845-9910-1840</t>
  </si>
  <si>
    <t>HIGH/LOW不灯</t>
  </si>
  <si>
    <t>SOMQMP202660</t>
  </si>
  <si>
    <t>X359721242150204</t>
  </si>
  <si>
    <t>Hi/Lo不灯ｴﾗｰｺｰﾄﾞ:U1281</t>
  </si>
  <si>
    <t>IC302-SW1出力異常</t>
  </si>
  <si>
    <t>4/2一次報告</t>
  </si>
  <si>
    <t>□</t>
  </si>
  <si>
    <t>SOMQMP051497</t>
  </si>
  <si>
    <t>331503A0A220MA</t>
  </si>
  <si>
    <t>X359721242074638</t>
  </si>
  <si>
    <t>3ACSQYK23年10月</t>
  </si>
  <si>
    <t>SOMQMP052524</t>
  </si>
  <si>
    <t>X388721242161879</t>
  </si>
  <si>
    <t>KLZB1-17315</t>
  </si>
  <si>
    <t>STJ確認結果･異状なし</t>
  </si>
  <si>
    <t>String-BFET(Q306)1,6pinｼｮｰﾄ</t>
  </si>
  <si>
    <t>未定FTA､不具合ﾒｶﾆｽﾞﾑ(予定)5/9最終報告5/9開封確認4/26二次報告(東芝一次)受領4/24解析内容､計画受領4/16MELCO→STJ一次報告4/9MELCO→STJ一次報告※4/17へ延期4/8STJ➝MELCO発送TR#4846-1025-1856</t>
  </si>
  <si>
    <t>Q306</t>
  </si>
  <si>
    <t>全不灯AlllightingfunctionsINOP</t>
  </si>
  <si>
    <t>HCMQMP203169</t>
  </si>
  <si>
    <t>X359721243075665</t>
  </si>
  <si>
    <t>KLZB1-17345</t>
  </si>
  <si>
    <t>Nolightfunctions(AllLightingfunctionsfailedtolight)Lightcheckergotanerror(CANDTCReadError)</t>
  </si>
  <si>
    <t>45170</t>
  </si>
  <si>
    <t>45261</t>
  </si>
  <si>
    <t>4/26二次報告4/26MELMBでのIC開封4/25合同解析結果を受けた一次報告4/24合同解析(開封確認､X線観察､良品付替)4/23現品受領､MELMBへ日程調整依頼</t>
  </si>
  <si>
    <t>全不灯NoLightFunction</t>
  </si>
  <si>
    <t>SOMQMP053539</t>
  </si>
  <si>
    <t>X388721243120317</t>
  </si>
  <si>
    <t>KLZB1-17354</t>
  </si>
  <si>
    <t>Nolightfunctions(HighBeam,LowBeam,DRL,SideMarker,&amp;TurnSignal)Lightcheckergotanerror(CANDTCReadError)</t>
  </si>
  <si>
    <t>SW2(20,21pin)PGND(13,14pin)ｼｮｰﾄ</t>
  </si>
  <si>
    <t>IC302SW2(20,21p)-PGND(13,14p)ｼｮｰﾄ及び､IC501ﾏｲｺﾝ(VDD-GND)ｼｮｰﾄ</t>
  </si>
  <si>
    <t>5/10二次報告※5/13報告あり5/8一次報告5/7STJ➝MELCO発送</t>
  </si>
  <si>
    <t>SOMQMP052980</t>
  </si>
  <si>
    <t>X388721242201169</t>
  </si>
  <si>
    <t>KLZB1-17363</t>
  </si>
  <si>
    <t>非再現NoCodesListedforeitherLamp-AllLightFunctionsGood</t>
  </si>
  <si>
    <t>非再現異常なし補足追加回答LCM単体では異常はなく､またSUS様における灯具状態での調査時点で不再現だったとの認識です｡また､ﾀﾞｲｱｸﾞ読み出しより記録されていたのは通信系の故障履歴のみであったことから､接続状態に何かしらの問題があり､一時的に接触不良のような状態となっていたのではと推測致します｡</t>
  </si>
  <si>
    <t>5/29追加回答(受領済)5/20一次報告(受領済)5/20一次報告(予定)5/9SUS⇒STJ発送TR#650335925344</t>
  </si>
  <si>
    <t>X388721243051685</t>
  </si>
  <si>
    <t>5/20一次報告(受領済)5/20一次報告(予定)5/9SUS⇒STJ発送TR#650335925344</t>
  </si>
  <si>
    <t>SOMQMP053967</t>
  </si>
  <si>
    <t>X388721243114862</t>
  </si>
  <si>
    <t>KLZB1-17370</t>
  </si>
  <si>
    <t>返却状態では再現ABA交換実施後､非再現</t>
  </si>
  <si>
    <t>6/5最終報告内容再確認→回答済6/4最終報告受領済5/29一次報告(予定)5/20STJ解析→ﾒﾙｺ発送5/15SUSより不具合発生&amp;発送連絡</t>
  </si>
  <si>
    <t>X388721244082776</t>
  </si>
  <si>
    <t>最終報告あり</t>
  </si>
  <si>
    <t>SOMQMP054395</t>
  </si>
  <si>
    <t>735972V244221729</t>
  </si>
  <si>
    <t>KLZB1-17451A</t>
  </si>
  <si>
    <t>7/25TIによるBUCK-IC⽣産履歴の確認返品された部品の対象ﾛｯﾄでは､この問題に関する異常なﾘｽｸは⽰されませんでした｡ｳｪｰﾊﾛｯﾄ:2023年9⽉製造｡ｱｾﾝﾌﾞﾘﾛｯﾄ:2024年1⽉製造ｻﾌﾟﾗｲﾔｰ(TI)は､EIPD面積が大きいため､原因を特定できなかった｡以下のような故障の可能性が疑われます｡(1)車両組立工程中に異常が発生した｡(2)BUCK-IC内部にﾗﾝﾀﾞﾑFAB欠陥が存在し､絶縁特性が低下して破損した｡</t>
  </si>
  <si>
    <t>7/25 最終報告済(M → S)7/25 次回報告予定(M → S)6/28現品到着連絡あり(M→S)6/27現品発送済み(S→M)6/14SUSより不具合発生&amp;発送連絡</t>
  </si>
  <si>
    <t>SOMQMP054597</t>
  </si>
  <si>
    <t>X359721244164405</t>
  </si>
  <si>
    <t>6/28現品到着連絡あり(M→S)6/27現品発送済み(S→M)6/14SUSより不具合発生&amp;発送連絡</t>
  </si>
  <si>
    <t>SOMQMP056111</t>
  </si>
  <si>
    <t>X359721245163579</t>
  </si>
  <si>
    <t>KLZB1-17477</t>
  </si>
  <si>
    <t>IC302のSW1(28,29p)-PGND(3,4p)間の短絡が確認された｡</t>
  </si>
  <si>
    <t>問題なし</t>
  </si>
  <si>
    <t>7/16調査結果回答済(M→S)→右記ｸﾚｰﾑ状況ﾌｫﾛｰ7/8不具合現品発送済み(4927-2969-9696)6/28SUSより不具合発生&amp;発送連絡</t>
  </si>
  <si>
    <t>N:\2024\品改\0_部共通\20_ｸﾚｰﾑ実績情報(2024年)\2)事故･重ｸﾚｰﾑ進捗状況確認ｼｰﾄ\1.事故･重･軽多数個\2405-06_(重)SEBH60A上下光軸調整不可.xlsx</t>
  </si>
  <si>
    <t>LowBeamnofunction(B2756Lowabnormallighterror)</t>
  </si>
  <si>
    <t>X388721245101255</t>
  </si>
  <si>
    <t>7/3不具合現品発送済み(4927-2969-9954)7/2SUSより不具合現品到着</t>
  </si>
  <si>
    <t>LowBeamnofunction(B2766Lowabnormallighterror)</t>
  </si>
  <si>
    <t>X388721244261429</t>
  </si>
  <si>
    <t>対策終了日</t>
    <rPh sb="0" eb="2">
      <t>タイサク</t>
    </rPh>
    <rPh sb="2" eb="4">
      <t>シュウリョウ</t>
    </rPh>
    <rPh sb="4" eb="5">
      <t>ビ</t>
    </rPh>
    <phoneticPr fontId="1"/>
  </si>
  <si>
    <t>中間検査電圧:58.7V 高温検査にて出力変動3S追加</t>
    <rPh sb="13" eb="15">
      <t>コウオン</t>
    </rPh>
    <rPh sb="15" eb="17">
      <t>ケンサ</t>
    </rPh>
    <rPh sb="19" eb="21">
      <t>シュツリョク</t>
    </rPh>
    <rPh sb="21" eb="23">
      <t>ヘンドウ</t>
    </rPh>
    <rPh sb="25" eb="27">
      <t>ツイカ</t>
    </rPh>
    <phoneticPr fontId="1"/>
  </si>
  <si>
    <t>中間検査電圧:60.3V～62.5V　検査時間:12S（消灯:6.6S　点灯:5.4S）使用電圧補正値:57.6V～59.8Vに変更</t>
    <rPh sb="0" eb="2">
      <t>チュウカン</t>
    </rPh>
    <rPh sb="2" eb="4">
      <t>ケンサ</t>
    </rPh>
    <rPh sb="4" eb="6">
      <t>デンアツ</t>
    </rPh>
    <rPh sb="19" eb="21">
      <t>ケンサ</t>
    </rPh>
    <rPh sb="21" eb="23">
      <t>ジカン</t>
    </rPh>
    <rPh sb="28" eb="30">
      <t>ショウトウ</t>
    </rPh>
    <rPh sb="36" eb="38">
      <t>テントウ</t>
    </rPh>
    <rPh sb="64" eb="66">
      <t>ヘンコウ</t>
    </rPh>
    <phoneticPr fontId="1"/>
  </si>
  <si>
    <t>中間検査電圧:61.4V～62.5V　検査時間:12S（消灯:6.6S　点灯:5.4S）使用電圧補正値:57.7V～58.7Vに変更</t>
    <rPh sb="0" eb="2">
      <t>チュウカン</t>
    </rPh>
    <rPh sb="2" eb="4">
      <t>ケンサ</t>
    </rPh>
    <rPh sb="4" eb="6">
      <t>デンアツ</t>
    </rPh>
    <rPh sb="19" eb="21">
      <t>ケンサ</t>
    </rPh>
    <rPh sb="21" eb="23">
      <t>ジカン</t>
    </rPh>
    <rPh sb="44" eb="46">
      <t>シヨウ</t>
    </rPh>
    <rPh sb="46" eb="48">
      <t>デンアツ</t>
    </rPh>
    <rPh sb="48" eb="51">
      <t>ホセイチ</t>
    </rPh>
    <rPh sb="64" eb="66">
      <t>ヘンコウ</t>
    </rPh>
    <phoneticPr fontId="1"/>
  </si>
  <si>
    <t>中間検査電圧:61.4V～62.8V　検査時間:13S（消灯6.6S　点灯6.4S)に変更</t>
    <rPh sb="0" eb="2">
      <t>チュウカン</t>
    </rPh>
    <rPh sb="2" eb="4">
      <t>ケンサ</t>
    </rPh>
    <rPh sb="4" eb="6">
      <t>デンアツ</t>
    </rPh>
    <rPh sb="19" eb="21">
      <t>ケンサ</t>
    </rPh>
    <rPh sb="21" eb="23">
      <t>ジカン</t>
    </rPh>
    <phoneticPr fontId="1"/>
  </si>
  <si>
    <t>中間検査電圧:63.1V～63.9V  検査時間:20S（消灯4.7S　点灯15.3S)に変更</t>
    <rPh sb="0" eb="2">
      <t>チュウカン</t>
    </rPh>
    <rPh sb="2" eb="4">
      <t>ケンサ</t>
    </rPh>
    <rPh sb="4" eb="6">
      <t>デンアツ</t>
    </rPh>
    <rPh sb="20" eb="22">
      <t>ケンサ</t>
    </rPh>
    <rPh sb="22" eb="24">
      <t>ジカン</t>
    </rPh>
    <phoneticPr fontId="1"/>
  </si>
  <si>
    <t>T対策1</t>
    <rPh sb="1" eb="3">
      <t>タイサク</t>
    </rPh>
    <phoneticPr fontId="1"/>
  </si>
  <si>
    <t>HV検査強化（74V　50ms➔200ms）</t>
    <rPh sb="2" eb="4">
      <t>ケンサ</t>
    </rPh>
    <rPh sb="4" eb="6">
      <t>キョウカ</t>
    </rPh>
    <phoneticPr fontId="1"/>
  </si>
  <si>
    <t>M対策6</t>
    <rPh sb="1" eb="3">
      <t>タイサク</t>
    </rPh>
    <phoneticPr fontId="1"/>
  </si>
  <si>
    <t>検査電圧印加時間:3秒増加 暫定1廃止　※MEAXのみ適用</t>
    <phoneticPr fontId="1"/>
  </si>
  <si>
    <t>M対策7</t>
    <rPh sb="1" eb="3">
      <t>タイサク</t>
    </rPh>
    <phoneticPr fontId="1"/>
  </si>
  <si>
    <t>M対策8</t>
    <rPh sb="1" eb="3">
      <t>タイサク</t>
    </rPh>
    <phoneticPr fontId="1"/>
  </si>
  <si>
    <t>対策テーブル</t>
    <rPh sb="0" eb="2">
      <t>タイサク</t>
    </rPh>
    <phoneticPr fontId="1"/>
  </si>
  <si>
    <t>距離(KM)</t>
    <rPh sb="0" eb="2">
      <t>キョリ</t>
    </rPh>
    <phoneticPr fontId="1"/>
  </si>
  <si>
    <t>機種テーブル</t>
    <rPh sb="0" eb="2">
      <t>キシュ</t>
    </rPh>
    <phoneticPr fontId="1"/>
  </si>
  <si>
    <t>24.07.31</t>
    <phoneticPr fontId="1"/>
  </si>
  <si>
    <t>30EA</t>
  </si>
  <si>
    <t>32RA</t>
  </si>
  <si>
    <t>33FA</t>
  </si>
  <si>
    <t>FREED</t>
  </si>
  <si>
    <t>3F0A</t>
  </si>
  <si>
    <t>BREEZE</t>
  </si>
  <si>
    <t>3M0X</t>
  </si>
  <si>
    <t>VEZEL</t>
  </si>
  <si>
    <t>A60</t>
  </si>
  <si>
    <t>GS8</t>
  </si>
  <si>
    <t>MEAX</t>
  </si>
  <si>
    <t>D#206903C#088682</t>
    <phoneticPr fontId="1"/>
  </si>
  <si>
    <t>33100</t>
  </si>
  <si>
    <t>33150</t>
  </si>
  <si>
    <t>お客様から、ヘッドライトシステムの問題を示す警告がダッシュボードに表示されるとの連絡がありました。チェックとアドバイス正常に動作しない</t>
    <phoneticPr fontId="1"/>
  </si>
  <si>
    <t>追加</t>
    <rPh sb="0" eb="2">
      <t>ツイカ</t>
    </rPh>
    <phoneticPr fontId="1"/>
  </si>
  <si>
    <t>ワランティ追加（CRV)</t>
    <rPh sb="5" eb="7">
      <t>ツイカ</t>
    </rPh>
    <phoneticPr fontId="1"/>
  </si>
  <si>
    <t>ワランティ追加（ACCORD)</t>
    <rPh sb="5" eb="7">
      <t>ツイカ</t>
    </rPh>
    <phoneticPr fontId="1"/>
  </si>
  <si>
    <t>ハイビーム警告灯が点灯する</t>
  </si>
  <si>
    <t>右側デイタイムヘッドライトが点灯していない。チェックとレポート</t>
  </si>
  <si>
    <t>電気オーディオ情報に関するお客様の状況は、運転者側のロービームが点灯しなくなったことを示しています。</t>
  </si>
  <si>
    <t>504857</t>
  </si>
  <si>
    <t>634161</t>
  </si>
  <si>
    <t>173661</t>
  </si>
  <si>
    <t>035116</t>
  </si>
  <si>
    <t>005138</t>
  </si>
  <si>
    <t>126460</t>
  </si>
  <si>
    <t>376803</t>
  </si>
  <si>
    <t>830729</t>
  </si>
  <si>
    <t>479402</t>
  </si>
  <si>
    <t>440662</t>
  </si>
  <si>
    <t>198278</t>
  </si>
  <si>
    <t>206919</t>
  </si>
  <si>
    <t>193880</t>
  </si>
  <si>
    <t>777178</t>
  </si>
  <si>
    <t>764683</t>
  </si>
  <si>
    <t>360841</t>
  </si>
  <si>
    <t>151627</t>
  </si>
  <si>
    <t>211261</t>
  </si>
  <si>
    <t>918050</t>
  </si>
  <si>
    <t>798441</t>
  </si>
  <si>
    <t>281041</t>
  </si>
  <si>
    <t>LCM</t>
  </si>
  <si>
    <t>HS FET側故障のみ残存していることからHS FET側への印加ストレス強化を図る</t>
    <phoneticPr fontId="1"/>
  </si>
  <si>
    <t>30AA</t>
    <phoneticPr fontId="1"/>
  </si>
  <si>
    <t>×</t>
    <phoneticPr fontId="1"/>
  </si>
  <si>
    <t>除外：MCU+BUCK-IC</t>
    <rPh sb="0" eb="2">
      <t>ジョガイ</t>
    </rPh>
    <phoneticPr fontId="1"/>
  </si>
  <si>
    <t>24/08/02当該ランプは、サウジアラビアから返却されたランプで、USホンダが送ってくれたモノだそうです。よって情報はありますが、北米市場のWarranty dataに反映されていないとのことです。USホンダが情報提供してくれたため分かった事案です。（品保経由でMELCO解析していますのでレポートありです。）24/08/01自調_24-00-SUS-_30AA HL LH 全不灯_ 不明データ保存済み（牧野Ｓより）10/2SUS⇒STJ発送TR#65033592245910/9STJ⇒MELCO解析依頼実施TR#4845-9910-003110/18MELCO一次報告</t>
    <rPh sb="199" eb="201">
      <t>ホゾン</t>
    </rPh>
    <rPh sb="201" eb="202">
      <t>ズ</t>
    </rPh>
    <rPh sb="204" eb="206">
      <t>マキノ</t>
    </rPh>
    <phoneticPr fontId="1"/>
  </si>
  <si>
    <t>ロー/ハイビームライト機能なし</t>
    <phoneticPr fontId="1"/>
  </si>
  <si>
    <t>HCMQMP200176</t>
    <phoneticPr fontId="1"/>
  </si>
  <si>
    <t>HCMQMP204682</t>
    <phoneticPr fontId="1"/>
  </si>
  <si>
    <t xml:space="preserve"> 331003A0A220M1</t>
    <phoneticPr fontId="1"/>
  </si>
  <si>
    <t>X359721246080814</t>
    <phoneticPr fontId="1"/>
  </si>
  <si>
    <t>〇</t>
    <phoneticPr fontId="1"/>
  </si>
  <si>
    <t>KLZB1-16603</t>
    <phoneticPr fontId="1"/>
  </si>
  <si>
    <t>W003T35971HH</t>
    <phoneticPr fontId="1"/>
  </si>
  <si>
    <t>各拠点LCM搭載機種一覧</t>
    <phoneticPr fontId="1"/>
  </si>
  <si>
    <t>NO</t>
    <phoneticPr fontId="15"/>
  </si>
  <si>
    <t>メルモビ品番</t>
    <rPh sb="4" eb="6">
      <t>ヒンバン</t>
    </rPh>
    <phoneticPr fontId="15"/>
  </si>
  <si>
    <t>得意先品番</t>
    <rPh sb="0" eb="3">
      <t>トクイサキ</t>
    </rPh>
    <rPh sb="3" eb="5">
      <t>ヒンバン</t>
    </rPh>
    <phoneticPr fontId="15"/>
  </si>
  <si>
    <t>ME製造</t>
    <rPh sb="2" eb="4">
      <t>セイゾウ</t>
    </rPh>
    <phoneticPr fontId="15"/>
  </si>
  <si>
    <t>グレード</t>
    <phoneticPr fontId="15"/>
  </si>
  <si>
    <t>機種</t>
    <rPh sb="0" eb="2">
      <t>キシュ</t>
    </rPh>
    <phoneticPr fontId="15"/>
  </si>
  <si>
    <t>向け先</t>
    <rPh sb="0" eb="1">
      <t>ム</t>
    </rPh>
    <rPh sb="2" eb="3">
      <t>サキ</t>
    </rPh>
    <phoneticPr fontId="15"/>
  </si>
  <si>
    <t>ST製造</t>
    <rPh sb="2" eb="4">
      <t>セイゾウ</t>
    </rPh>
    <phoneticPr fontId="15"/>
  </si>
  <si>
    <t>STJ品番</t>
    <rPh sb="3" eb="5">
      <t>ヒンバン</t>
    </rPh>
    <phoneticPr fontId="16"/>
  </si>
  <si>
    <t>STJ品名</t>
    <rPh sb="3" eb="5">
      <t>ヒンメイ</t>
    </rPh>
    <phoneticPr fontId="16"/>
  </si>
  <si>
    <t>SOP時期</t>
    <rPh sb="3" eb="5">
      <t>ジキ</t>
    </rPh>
    <phoneticPr fontId="15"/>
  </si>
  <si>
    <t>22MY OR 23MY</t>
    <phoneticPr fontId="15"/>
  </si>
  <si>
    <t>LMM IC変更
新：92664
旧：92662</t>
    <rPh sb="9" eb="10">
      <t>シン</t>
    </rPh>
    <rPh sb="17" eb="18">
      <t>キュウ</t>
    </rPh>
    <phoneticPr fontId="15"/>
  </si>
  <si>
    <t xml:space="preserve">
基板パターン
新 / 旧
</t>
    <rPh sb="8" eb="9">
      <t>シン</t>
    </rPh>
    <rPh sb="12" eb="13">
      <t>キュウ</t>
    </rPh>
    <phoneticPr fontId="15"/>
  </si>
  <si>
    <t>24年度　
月数量</t>
    <rPh sb="2" eb="3">
      <t>ネン</t>
    </rPh>
    <rPh sb="3" eb="4">
      <t>ド</t>
    </rPh>
    <rPh sb="6" eb="7">
      <t>ツキ</t>
    </rPh>
    <rPh sb="7" eb="9">
      <t>スウリョウ</t>
    </rPh>
    <phoneticPr fontId="15"/>
  </si>
  <si>
    <t>24年度　
年数量</t>
    <rPh sb="6" eb="7">
      <t>ネン</t>
    </rPh>
    <phoneticPr fontId="15"/>
  </si>
  <si>
    <t>W003T38372HH</t>
  </si>
  <si>
    <t>33109-3A0 -H020-62</t>
    <phoneticPr fontId="15"/>
  </si>
  <si>
    <t>MELAC</t>
    <phoneticPr fontId="16"/>
  </si>
  <si>
    <t>High</t>
  </si>
  <si>
    <t>3F0A</t>
    <phoneticPr fontId="16"/>
  </si>
  <si>
    <t>中国（広州）</t>
    <phoneticPr fontId="16"/>
  </si>
  <si>
    <t>GSE</t>
    <phoneticPr fontId="16"/>
  </si>
  <si>
    <t>W6443M/LIGHT CNTRL</t>
  </si>
  <si>
    <t>2022/12</t>
    <phoneticPr fontId="16"/>
  </si>
  <si>
    <t>22MY</t>
    <phoneticPr fontId="15"/>
  </si>
  <si>
    <t>新：92664</t>
    <phoneticPr fontId="15"/>
  </si>
  <si>
    <t>新</t>
    <phoneticPr fontId="15"/>
  </si>
  <si>
    <t>W003T38472HH</t>
  </si>
  <si>
    <t>33109-3A0 -H110-62</t>
    <phoneticPr fontId="15"/>
  </si>
  <si>
    <t>MID</t>
    <phoneticPr fontId="15"/>
  </si>
  <si>
    <t>GSE</t>
  </si>
  <si>
    <t>W6443M/LIGHT CNTRL2</t>
    <phoneticPr fontId="15"/>
  </si>
  <si>
    <t>W003T38772HH</t>
  </si>
  <si>
    <t>33100-30E -H120-62</t>
    <phoneticPr fontId="15"/>
  </si>
  <si>
    <t>Hi(23M SPEC)</t>
  </si>
  <si>
    <t>30AA</t>
    <phoneticPr fontId="16"/>
  </si>
  <si>
    <t>0464897802</t>
  </si>
  <si>
    <t>W6790M/LIGHT CNTRL</t>
  </si>
  <si>
    <t>2023/3</t>
    <phoneticPr fontId="16"/>
  </si>
  <si>
    <t>23MY</t>
    <phoneticPr fontId="15"/>
  </si>
  <si>
    <t>W003T39172HH</t>
  </si>
  <si>
    <t>33100-30E -H020-62</t>
    <phoneticPr fontId="15"/>
  </si>
  <si>
    <t>Low(23M SPEC )</t>
  </si>
  <si>
    <t>W6773M/LIGHT CNTRL</t>
  </si>
  <si>
    <t>2023/3</t>
  </si>
  <si>
    <t>-</t>
    <phoneticPr fontId="15"/>
  </si>
  <si>
    <t>W003T51271HH</t>
  </si>
  <si>
    <t>33109-3A0 -A040-62</t>
    <phoneticPr fontId="15"/>
  </si>
  <si>
    <t>Low</t>
  </si>
  <si>
    <t>W6700M/LIGHT CNTRL</t>
  </si>
  <si>
    <t>2022/12</t>
  </si>
  <si>
    <t>未</t>
    <rPh sb="0" eb="1">
      <t>ミ</t>
    </rPh>
    <phoneticPr fontId="15"/>
  </si>
  <si>
    <t>33109-39XA-H010-70</t>
    <phoneticPr fontId="15"/>
  </si>
  <si>
    <t>Low+IPD</t>
  </si>
  <si>
    <t>39XA</t>
    <phoneticPr fontId="15"/>
  </si>
  <si>
    <t>W8037M/LIGHT CNTRL</t>
    <phoneticPr fontId="15"/>
  </si>
  <si>
    <t>2024/11SOP</t>
    <phoneticPr fontId="15"/>
  </si>
  <si>
    <t>旧</t>
  </si>
  <si>
    <t>33YA</t>
    <phoneticPr fontId="15"/>
  </si>
  <si>
    <t>W7744M/LIGHT CNTRL</t>
    <phoneticPr fontId="15"/>
  </si>
  <si>
    <t>2025/3 SOP</t>
  </si>
  <si>
    <t>旧：92662</t>
  </si>
  <si>
    <t>MEAX</t>
    <phoneticPr fontId="16"/>
  </si>
  <si>
    <t>3A0A</t>
    <phoneticPr fontId="15"/>
  </si>
  <si>
    <t>北米</t>
    <phoneticPr fontId="16"/>
  </si>
  <si>
    <t>SUS</t>
    <phoneticPr fontId="16"/>
  </si>
  <si>
    <t>W6250M/LIGHT CNTRL</t>
  </si>
  <si>
    <t>2022/8</t>
    <phoneticPr fontId="16"/>
  </si>
  <si>
    <t>W5882M/LIGHT CNTRL</t>
  </si>
  <si>
    <t>W003T50871XB</t>
  </si>
  <si>
    <t>33109-3BMA-A110-70</t>
    <phoneticPr fontId="15"/>
  </si>
  <si>
    <t>3BMA</t>
    <phoneticPr fontId="15"/>
  </si>
  <si>
    <t>W8092M/LIGHT CNTRL</t>
    <phoneticPr fontId="15"/>
  </si>
  <si>
    <t>2025/12SOP</t>
    <phoneticPr fontId="15"/>
  </si>
  <si>
    <t>W003T33672TT</t>
    <phoneticPr fontId="15"/>
  </si>
  <si>
    <t>META</t>
    <phoneticPr fontId="15"/>
  </si>
  <si>
    <t>ア太</t>
    <phoneticPr fontId="16"/>
  </si>
  <si>
    <t>THS</t>
    <phoneticPr fontId="16"/>
  </si>
  <si>
    <t>W6258M/LIGHT CNTRL</t>
  </si>
  <si>
    <t>2023/2</t>
    <phoneticPr fontId="16"/>
  </si>
  <si>
    <t>W003T51171TT</t>
    <phoneticPr fontId="15"/>
  </si>
  <si>
    <t>33109-3A0 -H110-62</t>
  </si>
  <si>
    <t>META</t>
  </si>
  <si>
    <t>ア太</t>
  </si>
  <si>
    <t>THS</t>
  </si>
  <si>
    <t>W7174M/LIGHT CNTRL</t>
  </si>
  <si>
    <t>W003T51171TL</t>
    <phoneticPr fontId="15"/>
  </si>
  <si>
    <t>MID</t>
  </si>
  <si>
    <t>ベトナム</t>
    <phoneticPr fontId="16"/>
  </si>
  <si>
    <t>VNS</t>
    <phoneticPr fontId="16"/>
  </si>
  <si>
    <t>2023/8</t>
    <phoneticPr fontId="16"/>
  </si>
  <si>
    <t>W003T33672HH</t>
  </si>
  <si>
    <t>中国（武漢）</t>
    <phoneticPr fontId="16"/>
  </si>
  <si>
    <t>WSE</t>
    <phoneticPr fontId="16"/>
  </si>
  <si>
    <t>2022/10</t>
    <phoneticPr fontId="16"/>
  </si>
  <si>
    <t>W003T35972HH</t>
    <phoneticPr fontId="15"/>
  </si>
  <si>
    <t>W003T38572HH</t>
  </si>
  <si>
    <t>31EA</t>
    <phoneticPr fontId="16"/>
  </si>
  <si>
    <t>W6685M/LIGHT CNTRL</t>
  </si>
  <si>
    <t>W003T38672HH</t>
  </si>
  <si>
    <t>WSE</t>
  </si>
  <si>
    <t>W6670M/LIGHT CNTRL</t>
  </si>
  <si>
    <t>31VA</t>
    <phoneticPr fontId="16"/>
  </si>
  <si>
    <t>2023/8</t>
  </si>
  <si>
    <t>W003T51071HH</t>
  </si>
  <si>
    <t>33109-33FA-J010-69</t>
    <phoneticPr fontId="15"/>
  </si>
  <si>
    <t>TZXW</t>
  </si>
  <si>
    <t>W7390M/LIGHT CNTRL</t>
    <phoneticPr fontId="15"/>
  </si>
  <si>
    <t>2024/8 SOP</t>
  </si>
  <si>
    <t>W003T51171HH</t>
  </si>
  <si>
    <t>Hi(23M SPEC)</t>
    <phoneticPr fontId="15"/>
  </si>
  <si>
    <t>33WA</t>
    <phoneticPr fontId="15"/>
  </si>
  <si>
    <t>W7879M/LIGHT CNTRL</t>
    <phoneticPr fontId="15"/>
  </si>
  <si>
    <t>2025/1 SOP</t>
  </si>
  <si>
    <t>W003T36671TZ</t>
  </si>
  <si>
    <t>33109-32R -J030-69</t>
    <phoneticPr fontId="15"/>
  </si>
  <si>
    <t>Mid</t>
  </si>
  <si>
    <t>32RA</t>
    <phoneticPr fontId="16"/>
  </si>
  <si>
    <t>日本</t>
    <phoneticPr fontId="16"/>
  </si>
  <si>
    <t>秦四工</t>
    <phoneticPr fontId="16"/>
  </si>
  <si>
    <t>W6712M/LIGHT CNTRL</t>
  </si>
  <si>
    <t>W003T36871TZ</t>
  </si>
  <si>
    <t>33109-32R -N030-69</t>
    <phoneticPr fontId="15"/>
  </si>
  <si>
    <t>W6705M/LIGHT CNTRL</t>
  </si>
  <si>
    <t>39LA</t>
    <phoneticPr fontId="15"/>
  </si>
  <si>
    <t>2024/6 SOP</t>
  </si>
  <si>
    <t>W003T39771TZ</t>
  </si>
  <si>
    <t>33FA</t>
    <phoneticPr fontId="15"/>
  </si>
  <si>
    <t>2024/4 SOP</t>
  </si>
  <si>
    <t>W003T39871TZ</t>
  </si>
  <si>
    <t>W7423M/LIGHT CNTRL</t>
  </si>
  <si>
    <t>W003T50771TZ</t>
  </si>
  <si>
    <t>33109-3M0X-J810-68</t>
    <phoneticPr fontId="15"/>
  </si>
  <si>
    <t>3M0X</t>
    <phoneticPr fontId="15"/>
  </si>
  <si>
    <t>W7719M/LIGHT CNTRL</t>
    <phoneticPr fontId="15"/>
  </si>
  <si>
    <t>36WA</t>
    <phoneticPr fontId="15"/>
  </si>
  <si>
    <t>W7827M/LIGHT CNTRL</t>
    <phoneticPr fontId="15"/>
  </si>
  <si>
    <t>W7840M/LIGHT CNTRL</t>
    <phoneticPr fontId="15"/>
  </si>
  <si>
    <t>3BVT</t>
    <phoneticPr fontId="15"/>
  </si>
  <si>
    <t>W8115M/LIGHT CNTRL</t>
    <phoneticPr fontId="15"/>
  </si>
  <si>
    <t>日付</t>
    <rPh sb="0" eb="2">
      <t>ヒヅケ</t>
    </rPh>
    <phoneticPr fontId="1"/>
  </si>
  <si>
    <t>改定内容</t>
    <rPh sb="0" eb="2">
      <t>カイテイ</t>
    </rPh>
    <rPh sb="2" eb="4">
      <t>ナイヨウ</t>
    </rPh>
    <phoneticPr fontId="1"/>
  </si>
  <si>
    <t>NO</t>
    <phoneticPr fontId="1"/>
  </si>
  <si>
    <t>W列:対策ステータス TABLEより自動算出</t>
    <rPh sb="1" eb="2">
      <t>レツ</t>
    </rPh>
    <phoneticPr fontId="1"/>
  </si>
  <si>
    <t>F列:車種 TABLEより自動算出</t>
    <rPh sb="1" eb="2">
      <t>レツ</t>
    </rPh>
    <rPh sb="3" eb="5">
      <t>シャシュ</t>
    </rPh>
    <phoneticPr fontId="1"/>
  </si>
  <si>
    <t>W003T35972XB</t>
    <phoneticPr fontId="1"/>
  </si>
  <si>
    <t>グレード</t>
  </si>
  <si>
    <t>LCM部番</t>
    <phoneticPr fontId="15"/>
  </si>
  <si>
    <t>R,S列　STJ品番,品名項目追加(TABLEより自動算出）</t>
    <rPh sb="3" eb="4">
      <t>レツ</t>
    </rPh>
    <rPh sb="8" eb="10">
      <t>ヒンバン</t>
    </rPh>
    <rPh sb="11" eb="13">
      <t>ヒンメイ</t>
    </rPh>
    <rPh sb="13" eb="15">
      <t>コウモク</t>
    </rPh>
    <rPh sb="15" eb="17">
      <t>ツイカ</t>
    </rPh>
    <rPh sb="25" eb="27">
      <t>ジドウ</t>
    </rPh>
    <rPh sb="27" eb="29">
      <t>サンシュツ</t>
    </rPh>
    <phoneticPr fontId="1"/>
  </si>
  <si>
    <t>X,Y,Z列 LCM品番,ME製造,グレード項目追加(TABLEより自動算出)</t>
    <rPh sb="5" eb="6">
      <t>レツ</t>
    </rPh>
    <rPh sb="10" eb="12">
      <t>ヒンバン</t>
    </rPh>
    <rPh sb="15" eb="17">
      <t>セイゾウ</t>
    </rPh>
    <rPh sb="22" eb="24">
      <t>コウモク</t>
    </rPh>
    <rPh sb="24" eb="26">
      <t>ツイカ</t>
    </rPh>
    <rPh sb="34" eb="36">
      <t>ジドウ</t>
    </rPh>
    <rPh sb="36" eb="38">
      <t>サンシュツ</t>
    </rPh>
    <phoneticPr fontId="1"/>
  </si>
  <si>
    <t>AF列:不良選別項目追加　</t>
    <rPh sb="2" eb="3">
      <t>レツ</t>
    </rPh>
    <rPh sb="10" eb="12">
      <t>ツイカ</t>
    </rPh>
    <phoneticPr fontId="1"/>
  </si>
  <si>
    <t>AP列:ワランティ追加　ワランティデータ精査の為(SUSのみ）</t>
    <rPh sb="2" eb="3">
      <t>レツ</t>
    </rPh>
    <rPh sb="9" eb="11">
      <t>ツイカ</t>
    </rPh>
    <rPh sb="20" eb="22">
      <t>セイサ</t>
    </rPh>
    <rPh sb="23" eb="24">
      <t>タメ</t>
    </rPh>
    <phoneticPr fontId="1"/>
  </si>
  <si>
    <t>AQ列　集計データ追加（集計データ入力確認のため）</t>
    <rPh sb="2" eb="3">
      <t>レツ</t>
    </rPh>
    <rPh sb="4" eb="6">
      <t>シュウケイ</t>
    </rPh>
    <rPh sb="9" eb="11">
      <t>ツイカ</t>
    </rPh>
    <rPh sb="12" eb="14">
      <t>シュウケイ</t>
    </rPh>
    <rPh sb="17" eb="19">
      <t>ニュウリョク</t>
    </rPh>
    <rPh sb="19" eb="21">
      <t>カクニン</t>
    </rPh>
    <phoneticPr fontId="1"/>
  </si>
  <si>
    <t>担当</t>
    <rPh sb="0" eb="2">
      <t>タントウ</t>
    </rPh>
    <phoneticPr fontId="1"/>
  </si>
  <si>
    <t>梶間</t>
    <rPh sb="0" eb="2">
      <t>カジマ</t>
    </rPh>
    <phoneticPr fontId="1"/>
  </si>
  <si>
    <t>K列:距離(KM)とるすためMILE表示についてはMILE＊1.6KM に直し入力すること</t>
    <rPh sb="1" eb="2">
      <t>レツ</t>
    </rPh>
    <rPh sb="3" eb="5">
      <t>キョリ</t>
    </rPh>
    <rPh sb="18" eb="20">
      <t>ヒョウジ</t>
    </rPh>
    <rPh sb="37" eb="38">
      <t>ナオ</t>
    </rPh>
    <rPh sb="39" eb="41">
      <t>ニュウリョク</t>
    </rPh>
    <phoneticPr fontId="1"/>
  </si>
  <si>
    <t>BUCK-IC</t>
    <phoneticPr fontId="1"/>
  </si>
  <si>
    <t>Buck-ICIC302SW1(28,29p)-PGND(3,4p)short</t>
    <phoneticPr fontId="1"/>
  </si>
  <si>
    <t>KLZB1-16529C</t>
    <phoneticPr fontId="1"/>
  </si>
  <si>
    <t>KLZB1-16546B</t>
    <phoneticPr fontId="1"/>
  </si>
  <si>
    <t>KLZB1-16547B</t>
    <phoneticPr fontId="1"/>
  </si>
  <si>
    <t>KLZB1-16548B</t>
    <phoneticPr fontId="1"/>
  </si>
  <si>
    <t>KLZB1-16549</t>
    <phoneticPr fontId="1"/>
  </si>
  <si>
    <t>KLZB1-16559B</t>
    <phoneticPr fontId="1"/>
  </si>
  <si>
    <t>KLZB1-16586</t>
    <phoneticPr fontId="1"/>
  </si>
  <si>
    <t>KLZB1-16577</t>
    <phoneticPr fontId="1"/>
  </si>
  <si>
    <t>KLZB1-16578</t>
    <phoneticPr fontId="1"/>
  </si>
  <si>
    <t>KLZB1-16592</t>
    <phoneticPr fontId="1"/>
  </si>
  <si>
    <t>KLZB1-16593</t>
    <phoneticPr fontId="1"/>
  </si>
  <si>
    <t>KLZB1-16796</t>
    <phoneticPr fontId="1"/>
  </si>
  <si>
    <t>KLZB1-16795</t>
    <phoneticPr fontId="1"/>
  </si>
  <si>
    <t>KLZB1-16691</t>
    <phoneticPr fontId="1"/>
  </si>
  <si>
    <t>KLZB1-16863A</t>
    <phoneticPr fontId="1"/>
  </si>
  <si>
    <t>KLZB1-16878A</t>
    <phoneticPr fontId="1"/>
  </si>
  <si>
    <t>KLZB1-16891A</t>
    <phoneticPr fontId="1"/>
  </si>
  <si>
    <t>KLZB1-16922A</t>
    <phoneticPr fontId="1"/>
  </si>
  <si>
    <t>KLZB1-16950</t>
    <phoneticPr fontId="1"/>
  </si>
  <si>
    <t>KLZB1-16971A</t>
    <phoneticPr fontId="1"/>
  </si>
  <si>
    <t>KLZB1-16970A</t>
    <phoneticPr fontId="1"/>
  </si>
  <si>
    <t>KLZB1-16990A</t>
    <phoneticPr fontId="1"/>
  </si>
  <si>
    <t>KLZB1-16997A</t>
    <phoneticPr fontId="1"/>
  </si>
  <si>
    <t>KLZB1-16998</t>
    <phoneticPr fontId="1"/>
  </si>
  <si>
    <t>KLZB1-17000</t>
    <phoneticPr fontId="1"/>
  </si>
  <si>
    <t>KLZB1-17106A</t>
    <phoneticPr fontId="1"/>
  </si>
  <si>
    <t>KLZB1-17188</t>
    <phoneticPr fontId="1"/>
  </si>
  <si>
    <t>KLZB1-17232</t>
    <phoneticPr fontId="1"/>
  </si>
  <si>
    <t>KLZB1-17230</t>
    <phoneticPr fontId="1"/>
  </si>
  <si>
    <t>KLZB1-17231</t>
    <phoneticPr fontId="1"/>
  </si>
  <si>
    <t>KLZB1-17275</t>
    <phoneticPr fontId="1"/>
  </si>
  <si>
    <t>KLZB1-17276</t>
    <phoneticPr fontId="1"/>
  </si>
  <si>
    <t>KLZB1-17292</t>
    <phoneticPr fontId="1"/>
  </si>
  <si>
    <t>KLZB1-17293</t>
    <phoneticPr fontId="1"/>
  </si>
  <si>
    <t>責任区</t>
    <rPh sb="0" eb="2">
      <t>セキニン</t>
    </rPh>
    <rPh sb="2" eb="3">
      <t>ク</t>
    </rPh>
    <phoneticPr fontId="1"/>
  </si>
  <si>
    <t>推進状況</t>
    <rPh sb="0" eb="2">
      <t>スイシン</t>
    </rPh>
    <rPh sb="2" eb="4">
      <t>ジョウキョウ</t>
    </rPh>
    <phoneticPr fontId="1"/>
  </si>
  <si>
    <t>原因系</t>
    <rPh sb="0" eb="2">
      <t>ゲンイン</t>
    </rPh>
    <rPh sb="2" eb="3">
      <t>ケイ</t>
    </rPh>
    <phoneticPr fontId="1"/>
  </si>
  <si>
    <t>取引先</t>
    <rPh sb="0" eb="2">
      <t>トリヒキ</t>
    </rPh>
    <rPh sb="2" eb="3">
      <t>サキ</t>
    </rPh>
    <phoneticPr fontId="1"/>
  </si>
  <si>
    <t>ST</t>
    <phoneticPr fontId="1"/>
  </si>
  <si>
    <t>NTF</t>
    <phoneticPr fontId="1"/>
  </si>
  <si>
    <t>解析済
(ｸﾛｰｽﾞ)</t>
    <rPh sb="0" eb="2">
      <t>カイセキ</t>
    </rPh>
    <rPh sb="2" eb="3">
      <t>スミ</t>
    </rPh>
    <phoneticPr fontId="1"/>
  </si>
  <si>
    <t xml:space="preserve">解析中
</t>
    <rPh sb="0" eb="3">
      <t>カイセキチュウ</t>
    </rPh>
    <phoneticPr fontId="1"/>
  </si>
  <si>
    <t>未解析
解析前</t>
    <rPh sb="0" eb="3">
      <t>ミカイセキ</t>
    </rPh>
    <rPh sb="4" eb="6">
      <t>カイセキ</t>
    </rPh>
    <rPh sb="6" eb="7">
      <t>マエ</t>
    </rPh>
    <phoneticPr fontId="1"/>
  </si>
  <si>
    <t>〇</t>
    <phoneticPr fontId="1"/>
  </si>
  <si>
    <t>〇</t>
    <phoneticPr fontId="1"/>
  </si>
  <si>
    <t>MEAX</t>
    <phoneticPr fontId="1"/>
  </si>
  <si>
    <t>T対策4</t>
    <rPh sb="1" eb="3">
      <t>タイサク</t>
    </rPh>
    <phoneticPr fontId="1"/>
  </si>
  <si>
    <t>成膜工程改善　異物低減</t>
    <rPh sb="0" eb="2">
      <t>セイマク</t>
    </rPh>
    <rPh sb="4" eb="6">
      <t>カイゼン</t>
    </rPh>
    <rPh sb="7" eb="9">
      <t>イブツ</t>
    </rPh>
    <rPh sb="9" eb="11">
      <t>テイゲン</t>
    </rPh>
    <phoneticPr fontId="1"/>
  </si>
  <si>
    <t>ELP</t>
    <phoneticPr fontId="1"/>
  </si>
  <si>
    <t>ヒューズ切れ不灯</t>
    <rPh sb="4" eb="5">
      <t>キ</t>
    </rPh>
    <rPh sb="6" eb="7">
      <t>フ</t>
    </rPh>
    <rPh sb="7" eb="8">
      <t>アカリ</t>
    </rPh>
    <phoneticPr fontId="1"/>
  </si>
  <si>
    <t>SOMQMP057634</t>
    <phoneticPr fontId="1"/>
  </si>
  <si>
    <t>X359721246171746</t>
    <phoneticPr fontId="1"/>
  </si>
  <si>
    <t>下記不具合状態を確認いたしましたので、解析のほど宜しくお願い申し上げます。
点灯状態：全不灯を確認
外観確認結果：Q101とQ102焼損確認
（※詳細につきましては添付資料をご参照いただければ幸いです）</t>
    <phoneticPr fontId="1"/>
  </si>
  <si>
    <t>Q202</t>
    <phoneticPr fontId="1"/>
  </si>
  <si>
    <t>KLZB1-17561A</t>
    <phoneticPr fontId="1"/>
  </si>
  <si>
    <t>4.サプライヤーの視点
破損状況から、返却された部品は外部からのEOSにより破壊されたと疑われます。
当該ロットの出荷試験では異常は認められなかった。
また、⼯程上の異常履歴も確認されておりません。
結論
以上より、LCM 外部からの EOS により LCM が破壊されたと推定されます。</t>
    <phoneticPr fontId="1"/>
  </si>
  <si>
    <t>9/10(M→S) 最終報告済
9/10 次回報告予定(M→S)9/4 中間報告あり（M→J)</t>
    <rPh sb="10" eb="12">
      <t>サイシュウ</t>
    </rPh>
    <rPh sb="12" eb="14">
      <t>ホウコク</t>
    </rPh>
    <rPh sb="14" eb="15">
      <t>ズ</t>
    </rPh>
    <rPh sb="21" eb="23">
      <t>ジカイ</t>
    </rPh>
    <rPh sb="23" eb="25">
      <t>ホウコク</t>
    </rPh>
    <rPh sb="25" eb="27">
      <t>ヨテイ</t>
    </rPh>
    <rPh sb="36" eb="38">
      <t>チュウカン</t>
    </rPh>
    <rPh sb="38" eb="40">
      <t>ホウコク</t>
    </rPh>
    <phoneticPr fontId="1"/>
  </si>
  <si>
    <t>KLZB1-17535B</t>
    <phoneticPr fontId="1"/>
  </si>
  <si>
    <t>9/10 I の調査を更新します。SW1 の Low 側 FET で EIPD が確認されました。詳細につい
要 ては、添付のシート 4 を参照してください。
サプライヤー（TI）は、EIPD ⾯積が⼤きいため原因を特定できませんでしたが、次の
ような何らかの障害の可能性が疑われています。
（１）⾞両組⽴⼯程中に異常が発⽣した。
（２）BUCK-IC内部にランダムFAB⽋陥が存在し、絶縁特性が低下して破損した。 約
BUCK-ICの故障の可能性（2）の流出を防ぐため、
- テストの強化を実装しました。
1.⾼電圧試験（室温）での電圧印加時間を延⻑する
2. OVST（125℃）での電圧印加時間を延⻑（2023年8⽉〜）
3. ウェハテスト⼯程で74Vを印加する⾼電圧テスト（125℃）を新たに導⼊
‧炉内洗浄機能付き新型成膜装置を導⼊。（24年1⽉〜）
（2023年8⽉以降）
（2023年11⽉から）
（１）⾞両組⽴⼯程における可能性を検討してください。
9/4X線観察では異常は
⾒つかりませんでした。
曲線トレース解析によりショート特性が発⾒されました。
(TI)によるさらなる調査が進⾏中です。
8/21 調査結果
降圧 IC の短絡状態が確認されました。降圧 IC の⽋陥についてはさら
に調査を実施します。次回のレポートは 8 ⽉ 30 ⽇までに更新されま
す7/31ロー/ハイビームライト機能なし</t>
    <phoneticPr fontId="1"/>
  </si>
  <si>
    <t>9/10 最終報告有(M→S)9/11次回報告あり(M→S)9/4中間報告あり(M→S)
8/30 次回報告(M→S)
8/21 中間報告連絡済(M→S)
7/31sus不具合連絡あり</t>
    <rPh sb="5" eb="7">
      <t>サイシュウ</t>
    </rPh>
    <rPh sb="7" eb="9">
      <t>ホウコク</t>
    </rPh>
    <rPh sb="9" eb="10">
      <t>アリ</t>
    </rPh>
    <rPh sb="19" eb="21">
      <t>ジカイ</t>
    </rPh>
    <rPh sb="21" eb="23">
      <t>ホウコク</t>
    </rPh>
    <rPh sb="33" eb="35">
      <t>チュウカン</t>
    </rPh>
    <rPh sb="35" eb="37">
      <t>ホウコク</t>
    </rPh>
    <rPh sb="50" eb="52">
      <t>ジカイ</t>
    </rPh>
    <rPh sb="52" eb="54">
      <t>ホウコク</t>
    </rPh>
    <rPh sb="65" eb="67">
      <t>チュウカン</t>
    </rPh>
    <rPh sb="67" eb="69">
      <t>ホウコク</t>
    </rPh>
    <rPh sb="69" eb="71">
      <t>レンラク</t>
    </rPh>
    <rPh sb="71" eb="72">
      <t>ズ</t>
    </rPh>
    <phoneticPr fontId="1"/>
  </si>
  <si>
    <t>※MELMB M対策6→T対策1含んでいるため除外</t>
    <rPh sb="8" eb="10">
      <t>タイサク</t>
    </rPh>
    <rPh sb="13" eb="15">
      <t>タイサク</t>
    </rPh>
    <rPh sb="16" eb="17">
      <t>フク</t>
    </rPh>
    <rPh sb="23" eb="25">
      <t>ジョガイ</t>
    </rPh>
    <phoneticPr fontId="1"/>
  </si>
  <si>
    <t>24.09.27 更新理由　T対策4反映</t>
    <rPh sb="9" eb="11">
      <t>コウシン</t>
    </rPh>
    <rPh sb="11" eb="13">
      <t>リユウ</t>
    </rPh>
    <rPh sb="15" eb="17">
      <t>タイサク</t>
    </rPh>
    <rPh sb="18" eb="20">
      <t>ハンエイ</t>
    </rPh>
    <phoneticPr fontId="1"/>
  </si>
  <si>
    <t>SUS</t>
    <phoneticPr fontId="1"/>
  </si>
  <si>
    <t>HCM</t>
    <phoneticPr fontId="1"/>
  </si>
  <si>
    <t>HCMQMP205372</t>
    <phoneticPr fontId="1"/>
  </si>
  <si>
    <t>X359721248145922</t>
    <phoneticPr fontId="1"/>
  </si>
  <si>
    <t>全不灯</t>
    <rPh sb="0" eb="1">
      <t>ゼン</t>
    </rPh>
    <rPh sb="1" eb="2">
      <t>フ</t>
    </rPh>
    <rPh sb="2" eb="3">
      <t>アカリ</t>
    </rPh>
    <phoneticPr fontId="1"/>
  </si>
  <si>
    <t>X359721248232628</t>
    <phoneticPr fontId="1"/>
  </si>
  <si>
    <t>BUCK-IC</t>
    <phoneticPr fontId="1"/>
  </si>
  <si>
    <t>降圧コンバータIC302のSW1(28,29p）-
PGND(3,4p）間の短絡が確認された。</t>
    <phoneticPr fontId="1"/>
  </si>
  <si>
    <t>降圧コンバータIC302のSW1(28,29p）-
PGND(3,4p）間の短絡と
SW2(20,21p）-PGND(13,14p）</t>
    <phoneticPr fontId="1"/>
  </si>
  <si>
    <t>KLZB1-17633A</t>
    <phoneticPr fontId="1"/>
  </si>
  <si>
    <t>10/18MELMB 調査を更新します。FET で EIPD が確認されました。
詳細は別紙をご参照ください。
降圧ICの⽣産履歴は確認中です。次回のレポートは10
要 ⽉23⽇までに更新される予定です。
10/10 降圧ICの短絡状態が確認されました。降圧ICの⽋陥についてはさらに
調査を実施します。次回のレポートは10⽉17⽇までに更新されます。</t>
    <phoneticPr fontId="1"/>
  </si>
  <si>
    <t>10/23 次回報告予定(M→S)
10/17 次回報告予定済(10/18)(M→S)
10/10  一次報告有(M→S)
10/2(M→S) 現品返却済</t>
    <rPh sb="6" eb="8">
      <t>ジカイ</t>
    </rPh>
    <rPh sb="8" eb="10">
      <t>ホウコク</t>
    </rPh>
    <rPh sb="10" eb="12">
      <t>ヨテイ</t>
    </rPh>
    <rPh sb="24" eb="26">
      <t>ジカイ</t>
    </rPh>
    <rPh sb="26" eb="28">
      <t>ホウコク</t>
    </rPh>
    <rPh sb="28" eb="30">
      <t>ヨテイ</t>
    </rPh>
    <rPh sb="30" eb="31">
      <t>ズミ</t>
    </rPh>
    <rPh sb="51" eb="53">
      <t>イチジ</t>
    </rPh>
    <rPh sb="53" eb="55">
      <t>ホウコク</t>
    </rPh>
    <rPh sb="55" eb="56">
      <t>アリ</t>
    </rPh>
    <rPh sb="72" eb="74">
      <t>ゲンピン</t>
    </rPh>
    <rPh sb="74" eb="76">
      <t>ヘンキャク</t>
    </rPh>
    <rPh sb="76" eb="77">
      <t>ズミ</t>
    </rPh>
    <phoneticPr fontId="1"/>
  </si>
  <si>
    <t>KLZB1-17634A</t>
    <phoneticPr fontId="1"/>
  </si>
  <si>
    <t>MELMB 調査を更新します。FET で EIPD が確認されました。
詳細は別紙をご参照ください。
部品サプライヤー別の⽣産履歴を確認中です。次回のレポートは
要 10⽉23⽇までに更新されます。
10/10 降圧ICの短絡状態が確認されました。降圧ICの⽋陥についてはさらに
調査を実施します。次回のレポートは10⽉17⽇までに更新されます。</t>
    <phoneticPr fontId="1"/>
  </si>
  <si>
    <t>T対策5</t>
    <rPh sb="1" eb="3">
      <t>タイサク</t>
    </rPh>
    <phoneticPr fontId="1"/>
  </si>
  <si>
    <t>発生対策品(洗浄工程追加)導入</t>
    <rPh sb="0" eb="2">
      <t>ハッセイ</t>
    </rPh>
    <rPh sb="2" eb="4">
      <t>タイサク</t>
    </rPh>
    <rPh sb="4" eb="5">
      <t>ヒン</t>
    </rPh>
    <rPh sb="6" eb="8">
      <t>センジョウ</t>
    </rPh>
    <rPh sb="8" eb="10">
      <t>コウテイ</t>
    </rPh>
    <rPh sb="10" eb="12">
      <t>ツイカ</t>
    </rPh>
    <rPh sb="13" eb="15">
      <t>ドウニュウ</t>
    </rPh>
    <phoneticPr fontId="1"/>
  </si>
  <si>
    <t>T対策5(M7)</t>
    <rPh sb="1" eb="3">
      <t>タイサク</t>
    </rPh>
    <phoneticPr fontId="1"/>
  </si>
  <si>
    <t>MELMB申し出によりM7戻し</t>
    <rPh sb="5" eb="6">
      <t>モウ</t>
    </rPh>
    <rPh sb="7" eb="8">
      <t>デ</t>
    </rPh>
    <rPh sb="13" eb="14">
      <t>モド</t>
    </rPh>
    <phoneticPr fontId="1"/>
  </si>
  <si>
    <t>TEBLE更新（対策5追加、M7戻しにより）</t>
    <rPh sb="5" eb="7">
      <t>コウシン</t>
    </rPh>
    <rPh sb="8" eb="10">
      <t>タイサク</t>
    </rPh>
    <rPh sb="11" eb="13">
      <t>ツイカ</t>
    </rPh>
    <rPh sb="16" eb="17">
      <t>モド</t>
    </rPh>
    <phoneticPr fontId="1"/>
  </si>
  <si>
    <t>組立ﾗｲﾝﾘｱｹﾞｰﾄ修理後の完検</t>
    <phoneticPr fontId="1"/>
  </si>
  <si>
    <t>RH</t>
    <phoneticPr fontId="1"/>
  </si>
  <si>
    <t>LowBeamfunctiondidnotlight.Nolightfunction(INOPDRL,FrontTurn&amp;SideMarker).Allotherfunctionslit.Lightcheckererror(B275A–TurnAbnormalLightLHSide)</t>
    <phoneticPr fontId="1"/>
  </si>
  <si>
    <t>INOPDRL,FrontTurn&amp;SideMarker
INOPDRL：昼間走行灯（Daytime Running Light）が作動していない状態
FrontTurn：前方の方向指示器
SideMarker：側面のマーカーランプ</t>
    <phoneticPr fontId="1"/>
  </si>
  <si>
    <t>PowerSourceAbnormalityandB276E(LCM_R)internal
電源異常およびB276E（LCM_R）内部</t>
    <phoneticPr fontId="1"/>
  </si>
  <si>
    <t xml:space="preserve">PowerSourceAbnormalityandB276E(LCM_R)internal
電源異常およびB276E（LCM_R）内部
</t>
    <phoneticPr fontId="1"/>
  </si>
  <si>
    <t>LowBeamInop-LETBCAN_DTC</t>
    <phoneticPr fontId="1"/>
  </si>
  <si>
    <t>AlllightingfunctionsINOP
全不灯</t>
    <rPh sb="25" eb="26">
      <t>ゼン</t>
    </rPh>
    <rPh sb="26" eb="27">
      <t>フ</t>
    </rPh>
    <rPh sb="27" eb="28">
      <t>アカリ</t>
    </rPh>
    <phoneticPr fontId="1"/>
  </si>
  <si>
    <t>NOLIGHTFUNCTION
全不灯</t>
    <rPh sb="16" eb="17">
      <t>ゼン</t>
    </rPh>
    <rPh sb="17" eb="18">
      <t>フ</t>
    </rPh>
    <rPh sb="18" eb="19">
      <t>アカリ</t>
    </rPh>
    <phoneticPr fontId="1"/>
  </si>
  <si>
    <t>お客様からヘッドライトに問題があるとの報告があり、ダッシュボードを確認してディーラーに連絡</t>
    <phoneticPr fontId="1"/>
  </si>
  <si>
    <t>C/s:左ヘッドライトが完全に消灯し、作動しない。
全不灯</t>
    <rPh sb="26" eb="27">
      <t>ゼン</t>
    </rPh>
    <rPh sb="27" eb="28">
      <t>フ</t>
    </rPh>
    <rPh sb="28" eb="29">
      <t>アカリ</t>
    </rPh>
    <phoneticPr fontId="1"/>
  </si>
  <si>
    <t>お客様がヘッドライトシステムの問題を報告;ヘッドライト性能が低下する可能性がある;ディーラーのエラーメッセージが表示され、助手席ヘッドライトが無効になっていることを確認します。特別注文のパッセンジャーヘッドライトアセンブリを交換してください。</t>
    <phoneticPr fontId="1"/>
  </si>
  <si>
    <t>お客様は、運転席側のヘッドライトが切れていると述べています。
全不灯</t>
    <rPh sb="31" eb="32">
      <t>ゼン</t>
    </rPh>
    <rPh sb="32" eb="33">
      <t>フ</t>
    </rPh>
    <rPh sb="33" eb="34">
      <t>アカリ</t>
    </rPh>
    <phoneticPr fontId="1"/>
  </si>
  <si>
    <t>ゲストの状態では、運転者側のヘッドライトが点灯していない
全不灯</t>
    <phoneticPr fontId="1"/>
  </si>
  <si>
    <t>助手席側ヘッドライトが点灯しない
全不灯</t>
    <phoneticPr fontId="1"/>
  </si>
  <si>
    <t>お客様は、助手席前部ヘッドライトアセンブリ、ロービーム、ターンシグナル、およびDRL OUTについて述べています。
全不灯</t>
    <phoneticPr fontId="1"/>
  </si>
  <si>
    <t>Body Electrical diag body electrical-お客様がヘッドライトの問題に対する警告メッセージの実行方法を説明しています。内部故障のため運転者側ヘッドライトユニットを交換するように以前に診断されていた。sopをインストールしてください。全不灯</t>
    <rPh sb="132" eb="133">
      <t>ゼン</t>
    </rPh>
    <rPh sb="133" eb="134">
      <t>フ</t>
    </rPh>
    <rPh sb="134" eb="135">
      <t>アカリ</t>
    </rPh>
    <phoneticPr fontId="1"/>
  </si>
  <si>
    <t>お客様が右側のヘッドライトが点灯しないと言う。チェックして助言する。
全不灯</t>
    <rPh sb="35" eb="38">
      <t>ゼンフアカリ</t>
    </rPh>
    <phoneticPr fontId="1"/>
  </si>
  <si>
    <t>助手席側のヘッドライトが機能していません。お知らせください。
全不灯</t>
    <rPh sb="31" eb="34">
      <t>ゼンフアカリ</t>
    </rPh>
    <phoneticPr fontId="1"/>
  </si>
  <si>
    <t>助手席側のヘッドライトが消えた;SOPのインストールのために戻ってくる
全不灯</t>
    <phoneticPr fontId="1"/>
  </si>
  <si>
    <t>助手席側ヘッドランプの不作動を確認する。
全不灯</t>
    <phoneticPr fontId="1"/>
  </si>
  <si>
    <t>お客様は、サービスヘッドライトシステムのメッセージが点灯し、運転者のヘッドライトが完全に消灯していると述べています。
全不灯</t>
    <phoneticPr fontId="1"/>
  </si>
  <si>
    <t>ヘッドライトの動作確認;運転席側のヘッドライト/ウィンカーが点灯しない</t>
    <phoneticPr fontId="1"/>
  </si>
  <si>
    <t>お客様が、温度調節とセンターダッシュライトがまったく点灯しないと報告していることを確認し、アドバイスします。
全不灯</t>
    <phoneticPr fontId="1"/>
  </si>
  <si>
    <t>お客様から助手席前面ヘッドライトが点灯しないとの連絡がありました。
全不灯</t>
    <phoneticPr fontId="1"/>
  </si>
  <si>
    <t>お客様が右のヘッドライトが切れていると言う。
全不灯</t>
    <phoneticPr fontId="1"/>
  </si>
  <si>
    <t>お客様からヘッドライトが消灯し、指向性ライトが点灯していないとの連絡がありました。
全不灯</t>
    <phoneticPr fontId="1"/>
  </si>
  <si>
    <t>お客様は右ヘッドライトが消灯していると述べています。
全不灯</t>
    <phoneticPr fontId="1"/>
  </si>
  <si>
    <t>お客様は、夜間にバッテリーが切れたと述べています。お客様は、車両が駐車している間、運転席側のヘッドライトのオレンジ色のターンシグナルランプが点灯したままになっていると述べています。また、VEHIが点灯すると、ライトがランダムに点滅することがわかりました。</t>
    <phoneticPr fontId="1"/>
  </si>
  <si>
    <t>ゲストは、右側ヘッドランプおよびターンシグナルが機能していないと述べている。チェックとアドバイス
全不灯</t>
    <phoneticPr fontId="1"/>
  </si>
  <si>
    <t>カスタマーは、ヘッドライトが機能していないと述べています
全不灯</t>
    <phoneticPr fontId="1"/>
  </si>
  <si>
    <t>全不灯</t>
    <rPh sb="0" eb="1">
      <t>ゼン</t>
    </rPh>
    <rPh sb="1" eb="2">
      <t>フ</t>
    </rPh>
    <rPh sb="2" eb="3">
      <t>アカリ</t>
    </rPh>
    <phoneticPr fontId="1"/>
  </si>
  <si>
    <t>部分不灯</t>
    <rPh sb="0" eb="2">
      <t>ブブン</t>
    </rPh>
    <rPh sb="2" eb="3">
      <t>フ</t>
    </rPh>
    <rPh sb="3" eb="4">
      <t>アカリ</t>
    </rPh>
    <phoneticPr fontId="1"/>
  </si>
  <si>
    <t>4MOC</t>
    <phoneticPr fontId="1"/>
  </si>
  <si>
    <t>集計データ</t>
    <rPh sb="0" eb="2">
      <t>シュウケイ</t>
    </rPh>
    <phoneticPr fontId="1"/>
  </si>
  <si>
    <t>補足１</t>
    <rPh sb="0" eb="2">
      <t>ホソク</t>
    </rPh>
    <phoneticPr fontId="1"/>
  </si>
  <si>
    <t>補足２</t>
    <rPh sb="0" eb="2">
      <t>ホソク</t>
    </rPh>
    <phoneticPr fontId="1"/>
  </si>
  <si>
    <t>BUCK-IC 更なる前工程検査強化品</t>
  </si>
  <si>
    <t>T対策6(M7)</t>
    <rPh sb="1" eb="3">
      <t>タイサク</t>
    </rPh>
    <phoneticPr fontId="1"/>
  </si>
  <si>
    <t>不良数</t>
    <phoneticPr fontId="1"/>
  </si>
  <si>
    <t>データ抽出クエリー作成Ｖ0</t>
    <rPh sb="3" eb="5">
      <t>チュウシュツ</t>
    </rPh>
    <rPh sb="9" eb="11">
      <t>サクセイ</t>
    </rPh>
    <phoneticPr fontId="1"/>
  </si>
  <si>
    <t>データ抽出クエリー作成Ｖ1</t>
    <rPh sb="3" eb="5">
      <t>チュウシュツ</t>
    </rPh>
    <rPh sb="9" eb="11">
      <t>サクセイ</t>
    </rPh>
    <phoneticPr fontId="1"/>
  </si>
  <si>
    <t xml:space="preserve"> ロービームがオフにしても消灯しない</t>
    <phoneticPr fontId="1"/>
  </si>
  <si>
    <t>W003T38872XB</t>
    <phoneticPr fontId="1"/>
  </si>
  <si>
    <t>X38872124X240526</t>
    <phoneticPr fontId="1"/>
  </si>
  <si>
    <t>QAラボ調査で、LCM端子に異常はなく、A/B/Aスワップテストにより、不良はLCMにあると判明 。LCMにコンデンサ損傷が見つかったが、製造ラインでの損傷とは考えにくい 。再現試験では、コンデンサのオープン/ショート状態でランプの動作が変化したが、ロービーム点灯状態は再現できなかった 。</t>
    <phoneticPr fontId="1"/>
  </si>
  <si>
    <t>発生区</t>
    <rPh sb="0" eb="2">
      <t>ハッセイ</t>
    </rPh>
    <rPh sb="2" eb="3">
      <t>ク</t>
    </rPh>
    <phoneticPr fontId="1"/>
  </si>
  <si>
    <t>NCQ-IR-000012175</t>
    <phoneticPr fontId="1"/>
  </si>
  <si>
    <t>工程内
（最終点灯検査）</t>
    <phoneticPr fontId="1"/>
  </si>
  <si>
    <t>ELP</t>
    <phoneticPr fontId="1"/>
  </si>
  <si>
    <t>ロービーム・ハイビームが点灯しない</t>
    <phoneticPr fontId="1"/>
  </si>
  <si>
    <t>SOMQMP066937</t>
    <phoneticPr fontId="1"/>
  </si>
  <si>
    <t>W003T35972XB</t>
    <phoneticPr fontId="1"/>
  </si>
  <si>
    <t>X359721253134176</t>
    <phoneticPr fontId="1"/>
  </si>
  <si>
    <t>C816</t>
    <phoneticPr fontId="1"/>
  </si>
  <si>
    <t>KLZB1-18024</t>
    <phoneticPr fontId="1"/>
  </si>
  <si>
    <t>MAP</t>
    <phoneticPr fontId="1"/>
  </si>
  <si>
    <t xml:space="preserve">DRL (デイタイムランニングライト) とフロントターンランプが動作しない (INOP) </t>
    <phoneticPr fontId="1"/>
  </si>
  <si>
    <t>SOMQMP068242</t>
    <phoneticPr fontId="1"/>
  </si>
  <si>
    <t>W003T38872XB</t>
    <phoneticPr fontId="1"/>
  </si>
  <si>
    <t>X388721254153490</t>
    <phoneticPr fontId="1"/>
  </si>
  <si>
    <t>問題なし</t>
    <phoneticPr fontId="1"/>
  </si>
  <si>
    <t>HMIN</t>
    <phoneticPr fontId="1"/>
  </si>
  <si>
    <t xml:space="preserve">全ての点灯機能が動作しない (INOP) </t>
    <phoneticPr fontId="1"/>
  </si>
  <si>
    <t>SOMQMP068385</t>
    <phoneticPr fontId="1"/>
  </si>
  <si>
    <t>W003T35972XB</t>
    <phoneticPr fontId="1"/>
  </si>
  <si>
    <t>X359721255022081</t>
    <phoneticPr fontId="1"/>
  </si>
  <si>
    <t>STJ動作確認
全不灯確認</t>
    <rPh sb="3" eb="5">
      <t>ドウサ</t>
    </rPh>
    <rPh sb="5" eb="7">
      <t>カクニン</t>
    </rPh>
    <rPh sb="8" eb="9">
      <t>ゼン</t>
    </rPh>
    <rPh sb="9" eb="10">
      <t>フ</t>
    </rPh>
    <rPh sb="10" eb="11">
      <t>アカリ</t>
    </rPh>
    <rPh sb="11" eb="13">
      <t>カクニン</t>
    </rPh>
    <phoneticPr fontId="1"/>
  </si>
  <si>
    <t>STJ動作確認
POS,DRL,TURN不灯</t>
    <rPh sb="3" eb="5">
      <t>ドウサ</t>
    </rPh>
    <rPh sb="5" eb="7">
      <t>カクニン</t>
    </rPh>
    <phoneticPr fontId="1"/>
  </si>
  <si>
    <t>BUCK-IC</t>
    <phoneticPr fontId="1"/>
  </si>
  <si>
    <t>6/3Rev.A: Update factor analysis result (Attached sheet 4~5)
4/24 分解調査の結果、C217にへこみ、C816に損傷と脱落、基板には多数の傷が確認されました。回路調査では、C816の不具合がMCUのバックアップ信号に影響し、「ロービームが消えない」原因と判断されました。C217のへこみはジグとの接触によるもので、不具合とは直接関係しないとされています。</t>
    <phoneticPr fontId="1"/>
  </si>
  <si>
    <t>25/06/02 最終報告済(M→S)
25/04/24 中間報告済(M→S)
25/04/14 現品発送済
25/04/14 現品到着予定</t>
    <rPh sb="9" eb="11">
      <t>サイシュウ</t>
    </rPh>
    <rPh sb="11" eb="13">
      <t>ホウコク</t>
    </rPh>
    <rPh sb="13" eb="14">
      <t>ズ</t>
    </rPh>
    <rPh sb="29" eb="31">
      <t>チュウカン</t>
    </rPh>
    <rPh sb="31" eb="33">
      <t>ホウコク</t>
    </rPh>
    <rPh sb="33" eb="34">
      <t>ズ</t>
    </rPh>
    <rPh sb="49" eb="51">
      <t>ゲンピン</t>
    </rPh>
    <rPh sb="51" eb="53">
      <t>ハッソウ</t>
    </rPh>
    <rPh sb="53" eb="54">
      <t>ズミ</t>
    </rPh>
    <rPh sb="64" eb="66">
      <t>ゲンピン</t>
    </rPh>
    <rPh sb="66" eb="68">
      <t>トウチャク</t>
    </rPh>
    <rPh sb="68" eb="70">
      <t>ヨテイ</t>
    </rPh>
    <phoneticPr fontId="1"/>
  </si>
  <si>
    <t>MCU+BUCK-IC</t>
    <phoneticPr fontId="1"/>
  </si>
  <si>
    <t>6/12RevA: 部品解析更新（Attached sheet 3～11に記載）
6/6-Buck-IC IC302とマイコンIC501のショートにより、全系統が動作不良 BuckコンバータIC302：SW1 - PGND間でショート確認
  - マイコンIC501：VDD - GND間でショート確認</t>
    <phoneticPr fontId="1"/>
  </si>
  <si>
    <t>2025/06/12　中間報告(M→S)
2025/06/06中間報告(M→S)
2025/05/28 現品発送済(M→S)</t>
    <rPh sb="11" eb="13">
      <t>チュウカン</t>
    </rPh>
    <rPh sb="13" eb="15">
      <t>ホウコク</t>
    </rPh>
    <rPh sb="31" eb="33">
      <t>チュウカン</t>
    </rPh>
    <rPh sb="33" eb="35">
      <t>ホウコク</t>
    </rPh>
    <rPh sb="52" eb="54">
      <t>ゲンピン</t>
    </rPh>
    <rPh sb="54" eb="56">
      <t>ハッソウ</t>
    </rPh>
    <rPh sb="56" eb="57">
      <t>ズ</t>
    </rPh>
    <phoneticPr fontId="1"/>
  </si>
  <si>
    <t>KLZB1-18116A</t>
    <phoneticPr fontId="1"/>
  </si>
  <si>
    <t>SUS</t>
    <phoneticPr fontId="1"/>
  </si>
  <si>
    <t>HMIN</t>
    <phoneticPr fontId="1"/>
  </si>
  <si>
    <t xml:space="preserve">全ての点灯機能が動作しない (INOP) </t>
  </si>
  <si>
    <t>SOMQMP069057</t>
    <phoneticPr fontId="1"/>
  </si>
  <si>
    <t>X359721255161172</t>
    <phoneticPr fontId="1"/>
  </si>
  <si>
    <t>1HGRS3898SL903960</t>
    <phoneticPr fontId="1"/>
  </si>
  <si>
    <t>HGRS3845RL900707</t>
    <phoneticPr fontId="1"/>
  </si>
  <si>
    <t>X359721245233858</t>
    <phoneticPr fontId="1"/>
  </si>
  <si>
    <t>X359721236201389</t>
    <phoneticPr fontId="1"/>
  </si>
  <si>
    <t>MCU+BUCK-IC</t>
    <phoneticPr fontId="1"/>
  </si>
  <si>
    <t>KLZB1-18138A</t>
    <phoneticPr fontId="1"/>
  </si>
  <si>
    <t>2025/07/01 最終報告済(M→S)
2025/06/20 中間報告(M→S)
2025/06/16 現品受領・発送済(M→S)</t>
    <rPh sb="33" eb="35">
      <t>チュウカン</t>
    </rPh>
    <rPh sb="35" eb="37">
      <t>ホウコク</t>
    </rPh>
    <rPh sb="54" eb="56">
      <t>ゲンピン</t>
    </rPh>
    <rPh sb="56" eb="58">
      <t>ジュリョウ</t>
    </rPh>
    <rPh sb="59" eb="61">
      <t>ハッソウ</t>
    </rPh>
    <rPh sb="61" eb="62">
      <t>ズ</t>
    </rPh>
    <phoneticPr fontId="1"/>
  </si>
  <si>
    <t>KLZB1-18139A</t>
    <phoneticPr fontId="1"/>
  </si>
  <si>
    <t>2025/07/01 最終報告済(M→S)
2025/06/20 中間報告(M→S)
2025/06/16 現品受領・発送済(M→S)</t>
    <rPh sb="54" eb="56">
      <t>ゲンピン</t>
    </rPh>
    <rPh sb="56" eb="58">
      <t>ジュリョウ</t>
    </rPh>
    <rPh sb="59" eb="61">
      <t>ハッソウ</t>
    </rPh>
    <rPh sb="61" eb="62">
      <t>ズ</t>
    </rPh>
    <phoneticPr fontId="1"/>
  </si>
  <si>
    <t>KLZB1-18140A</t>
    <phoneticPr fontId="1"/>
  </si>
  <si>
    <t>7/1 MELMBのX線分析結果からEIPDによる破壊痕が確認された。
FET領域のEIPD領域が⼤きいため、根本原因を特定できませんでした。
上記の理由により、TI はこれ以上の物理分析を実行しません。
6/20 BuckコンバータIC302のSW1とPGND間でショートを確認  
  マイコンのVDDとGND間でもショートを確認
6/13 MELCO殿に先行情報展開済み</t>
    <rPh sb="178" eb="179">
      <t>ドノ</t>
    </rPh>
    <rPh sb="180" eb="182">
      <t>センコウ</t>
    </rPh>
    <rPh sb="182" eb="184">
      <t>ジョウホウ</t>
    </rPh>
    <rPh sb="184" eb="186">
      <t>テンカイ</t>
    </rPh>
    <rPh sb="186" eb="187">
      <t>ズ</t>
    </rPh>
    <phoneticPr fontId="1"/>
  </si>
  <si>
    <t>7/1 MELMBのX線分析結果からEIPDによる破壊痕が確認された。
FET領域のEIPD領域が⼤きいため、根本原因を特定できませんでした。
上記の理由により、TI はこれ以上の物理分析を実行しません。
6/20 BuckコンバータIC302のSW1とPGND間でショートを確認  
  マイコンのVDDとGND間でもショートを確認</t>
    <phoneticPr fontId="1"/>
  </si>
  <si>
    <t>7/1 MELMBのX線分析結果からEIPDによる破壊痕が確認された。
FET領域のEIPD領域が⼤きいため、根本原因を特定できませんでした。
上記の理由により、TI はこれ以上の物理分析を実行しません。
6/20 BuckコンバータIC302のSW1、2とPGND間でショートを確認  
  マイコンのVDDとGND間でもショートを確認</t>
    <phoneticPr fontId="1"/>
  </si>
  <si>
    <t>KLZB1-18115B</t>
    <phoneticPr fontId="1"/>
  </si>
  <si>
    <t>6/25RevB:SW2部分に電気的損傷（EIPD）が広範囲に確認されたため、根本原因は特定できず、TI社はこれ以上の解析を行わない方針です。
6/12RevA: 部品解析内容の更新（Attached sheet 3に記載）
6/6String-B（POS, TURN, DRL, S/M）：点灯せず- BuckコンバータエリアIC302（SW2-PGND）にショートを確認
  - Buck IC IC302：ピンSW2（20,21）とPGND（13,14）間でショート確認</t>
    <phoneticPr fontId="1"/>
  </si>
  <si>
    <t>2025/06/25 最終報告(M→S)
2025/06/12 中間報告(M→S)
2025/06/06 中間報告(M→S)
2025/05/28 現品発送済(M→S)</t>
    <rPh sb="11" eb="13">
      <t>サイシュウ</t>
    </rPh>
    <rPh sb="13" eb="15">
      <t>ホウコク</t>
    </rPh>
    <rPh sb="32" eb="34">
      <t>チュウカン</t>
    </rPh>
    <rPh sb="34" eb="36">
      <t>ホウコク</t>
    </rPh>
    <rPh sb="53" eb="55">
      <t>チュウカン</t>
    </rPh>
    <rPh sb="55" eb="57">
      <t>ホウコク</t>
    </rPh>
    <rPh sb="74" eb="76">
      <t>ゲンピン</t>
    </rPh>
    <rPh sb="76" eb="78">
      <t>ハッソウ</t>
    </rPh>
    <rPh sb="78" eb="79">
      <t>ズ</t>
    </rPh>
    <phoneticPr fontId="1"/>
  </si>
  <si>
    <t>KLZB1-18043F</t>
    <phoneticPr fontId="1"/>
  </si>
  <si>
    <t>7/14 RevF: 部品解析の更新（添付シート5〜7）
ポリ層を除去した後、追加の変質箇所でEPID（電子ビーム誘導欠陥）が確認されました。
上記の解析結果から、不具合の疑いのある原因はFAB（製造工程）におけるランダム欠陥であると推定されます。
FABランダム欠陥による故障メカニズムおよび継続的な改善活動は、添付資料6～7に示されています。
6/25金属層を除去した後、追加で変質が疑われた箇所には異常は確認されませんでした現在、サプライヤーが分解解析（Deprocessing analysis）を継続中です。次回の報告は2025年7月3日までに更新予定です。
5/8BuckコンバータIC（IC302）の出力異常により、Low/Highビームが点灯しなかった。</t>
    <phoneticPr fontId="1"/>
  </si>
  <si>
    <t>2025/07/14 最終報告(M→S)
2025/06/25 中間報告(M→S)
2025/05/23 中間報告（M→S)
5/8 中間報告済(M→S)
25/04/22　現品発送済</t>
    <rPh sb="11" eb="13">
      <t>サイシュウ</t>
    </rPh>
    <rPh sb="13" eb="15">
      <t>ホウコク</t>
    </rPh>
    <rPh sb="32" eb="34">
      <t>チュウカン</t>
    </rPh>
    <rPh sb="34" eb="36">
      <t>ホウコク</t>
    </rPh>
    <rPh sb="53" eb="55">
      <t>チュウカン</t>
    </rPh>
    <rPh sb="55" eb="57">
      <t>ホウコク</t>
    </rPh>
    <rPh sb="67" eb="69">
      <t>チュウカン</t>
    </rPh>
    <rPh sb="69" eb="71">
      <t>ホウコク</t>
    </rPh>
    <rPh sb="71" eb="72">
      <t>スミ</t>
    </rPh>
    <rPh sb="87" eb="89">
      <t>ゲンピン</t>
    </rPh>
    <rPh sb="89" eb="91">
      <t>ハッソウ</t>
    </rPh>
    <rPh sb="91" eb="92">
      <t>ズミ</t>
    </rPh>
    <phoneticPr fontId="1"/>
  </si>
  <si>
    <t>更新日：2025年7月14日</t>
    <rPh sb="0" eb="3">
      <t>コウシンビ</t>
    </rPh>
    <rPh sb="8" eb="9">
      <t>ネン</t>
    </rPh>
    <rPh sb="10" eb="11">
      <t>ガツ</t>
    </rPh>
    <rPh sb="13" eb="14">
      <t>ニチ</t>
    </rPh>
    <phoneticPr fontId="1"/>
  </si>
  <si>
    <t>30AY</t>
  </si>
  <si>
    <t>2QD</t>
  </si>
  <si>
    <t>31EA</t>
  </si>
  <si>
    <t>HR-V</t>
  </si>
  <si>
    <t>2VX</t>
  </si>
  <si>
    <t>31VA</t>
  </si>
  <si>
    <t>INSPIRE</t>
  </si>
  <si>
    <t>3RD</t>
  </si>
  <si>
    <t>N-BOX</t>
  </si>
  <si>
    <t>33WA</t>
  </si>
  <si>
    <t>烨 S7</t>
  </si>
  <si>
    <t>33YA</t>
  </si>
  <si>
    <t>烨 P7</t>
  </si>
  <si>
    <t>36WA</t>
  </si>
  <si>
    <t>PRELUDE</t>
  </si>
  <si>
    <t>39LA</t>
  </si>
  <si>
    <t>N-JOY</t>
  </si>
  <si>
    <t>CR-V</t>
  </si>
  <si>
    <t>2YC</t>
  </si>
  <si>
    <t>3A0W</t>
  </si>
  <si>
    <t>3BMA</t>
  </si>
  <si>
    <t>PASSPORT</t>
  </si>
  <si>
    <t>3BVT</t>
  </si>
  <si>
    <t>N-ONE BEV</t>
  </si>
  <si>
    <t>3UG</t>
  </si>
  <si>
    <t>3F0W</t>
  </si>
  <si>
    <t>T95B</t>
  </si>
  <si>
    <t>CR-V派</t>
    <rPh sb="4" eb="5">
      <t>ハ</t>
    </rPh>
    <phoneticPr fontId="0"/>
  </si>
  <si>
    <t>TZAR</t>
  </si>
  <si>
    <t>FIT</t>
  </si>
  <si>
    <t>赤字：購買記載</t>
    <rPh sb="0" eb="2">
      <t>アカジ</t>
    </rPh>
    <rPh sb="3" eb="5">
      <t>コウバイ</t>
    </rPh>
    <rPh sb="5" eb="7">
      <t>キサイ</t>
    </rPh>
    <phoneticPr fontId="1"/>
  </si>
  <si>
    <t>3DPA</t>
    <phoneticPr fontId="1"/>
  </si>
  <si>
    <t>LMX</t>
    <phoneticPr fontId="1"/>
  </si>
  <si>
    <t>W8378M/LIGHT CNTRL</t>
    <phoneticPr fontId="1"/>
  </si>
  <si>
    <t>Mid</t>
    <phoneticPr fontId="1"/>
  </si>
  <si>
    <t>Low(23M SPEC )</t>
    <phoneticPr fontId="1"/>
  </si>
  <si>
    <t>W6792M/LIGHT CNTRL</t>
  </si>
  <si>
    <t>ア太</t>
    <rPh sb="1" eb="2">
      <t>フトシ</t>
    </rPh>
    <phoneticPr fontId="1"/>
  </si>
  <si>
    <t>インド</t>
    <phoneticPr fontId="1"/>
  </si>
  <si>
    <t>3A0W</t>
    <phoneticPr fontId="1"/>
  </si>
  <si>
    <t>ア太</t>
    <phoneticPr fontId="1"/>
  </si>
  <si>
    <t>THS</t>
    <phoneticPr fontId="1"/>
  </si>
  <si>
    <t>W5882M/LIGHT CNTRL</t>
    <phoneticPr fontId="1"/>
  </si>
  <si>
    <t>W8223M/LIGHT CNTRL</t>
    <phoneticPr fontId="1"/>
  </si>
  <si>
    <t>Hi(23M SPEC)</t>
    <phoneticPr fontId="1"/>
  </si>
  <si>
    <t>High</t>
    <phoneticPr fontId="1"/>
  </si>
  <si>
    <t>Low</t>
    <phoneticPr fontId="1"/>
  </si>
  <si>
    <t>中国（武漢）</t>
    <phoneticPr fontId="1"/>
  </si>
  <si>
    <t>W8481M/LIGHT CNTRL</t>
    <phoneticPr fontId="1"/>
  </si>
  <si>
    <t>W7174M/LIGHT CNTRL</t>
    <phoneticPr fontId="1"/>
  </si>
  <si>
    <t>Low(23M SPEC)</t>
    <phoneticPr fontId="1"/>
  </si>
  <si>
    <t>-</t>
    <phoneticPr fontId="1"/>
  </si>
  <si>
    <t>Low+IPD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</si>
</sst>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quot;年&quot;m&quot;月&quot;d&quot;日&quot;;@"/>
    <numFmt numFmtId="177" formatCode="yy/m"/>
    <numFmt numFmtId="178" formatCode="m/d/yyyy"/>
    <numFmt numFmtId="179" formatCode="m&quot;月&quot;d&quot;日&quot;yyyy&quot;年&quot;"/>
  </numFmts>
  <fonts count="22" x14ac:knownFonts="1">
    <font>
      <sz val="11"/>
      <color theme="1"/>
      <name val="游ゴシック"/>
      <family val="2"/>
      <charset val="128"/>
      <scheme val="minor"/>
    </font>
    <font>
      <sz val="6"/>
      <name val="游ゴシック"/>
      <family val="2"/>
      <charset val="128"/>
      <scheme val="minor"/>
    </font>
    <font>
      <sz val="11"/>
      <color theme="1"/>
      <name val="ＭＳ Ｐゴシック"/>
      <family val="3"/>
      <charset val="128"/>
    </font>
    <font>
      <sz val="11"/>
      <color theme="1"/>
      <name val="游ゴシック"/>
      <family val="3"/>
      <charset val="134"/>
    </font>
    <font>
      <sz val="11"/>
      <name val="ＭＳ Ｐゴシック"/>
      <family val="3"/>
      <charset val="128"/>
    </font>
    <font>
      <sz val="11"/>
      <color rgb="FFFF0000"/>
      <name val="ＭＳ Ｐゴシック"/>
      <family val="3"/>
      <charset val="128"/>
    </font>
    <font>
      <sz val="16"/>
      <name val="Meiryo UI"/>
      <family val="3"/>
      <charset val="128"/>
    </font>
    <font>
      <sz val="11"/>
      <name val="Meiryo UI"/>
      <family val="3"/>
      <charset val="128"/>
    </font>
    <font>
      <sz val="10"/>
      <name val="Meiryo UI"/>
      <family val="3"/>
      <charset val="128"/>
    </font>
    <font>
      <sz val="11"/>
      <color theme="1"/>
      <name val="Meiryo UI"/>
      <family val="3"/>
      <charset val="128"/>
    </font>
    <font>
      <sz val="20"/>
      <name val="Meiryo UI"/>
      <family val="3"/>
      <charset val="128"/>
    </font>
    <font>
      <u/>
      <sz val="11"/>
      <color theme="10"/>
      <name val="游ゴシック"/>
      <family val="2"/>
      <charset val="128"/>
      <scheme val="minor"/>
    </font>
    <font>
      <sz val="11"/>
      <color theme="1"/>
      <name val="游ゴシック"/>
      <family val="2"/>
      <charset val="128"/>
      <scheme val="minor"/>
    </font>
    <font>
      <sz val="9"/>
      <color theme="1"/>
      <name val="Meiryo UI"/>
      <family val="2"/>
      <charset val="128"/>
    </font>
    <font>
      <b/>
      <u/>
      <sz val="9"/>
      <color theme="1"/>
      <name val="Meiryo UI"/>
      <family val="3"/>
      <charset val="128"/>
    </font>
    <font>
      <sz val="6"/>
      <name val="Meiryo UI"/>
      <family val="2"/>
      <charset val="128"/>
    </font>
    <font>
      <sz val="6"/>
      <name val="ＭＳ Ｐゴシック"/>
      <family val="3"/>
      <charset val="128"/>
    </font>
    <font>
      <sz val="9"/>
      <color theme="1"/>
      <name val="Meiryo UI"/>
      <family val="3"/>
      <charset val="128"/>
    </font>
    <font>
      <sz val="8"/>
      <color theme="1"/>
      <name val="Meiryo UI"/>
      <family val="3"/>
      <charset val="128"/>
    </font>
    <font>
      <sz val="9"/>
      <name val="Meiryo UI"/>
      <family val="3"/>
      <charset val="128"/>
    </font>
    <font>
      <sz val="9"/>
      <color rgb="FFFF0000"/>
      <name val="Meiryo UI"/>
      <family val="2"/>
      <charset val="128"/>
    </font>
    <font>
      <sz val="9"/>
      <color rgb="FFFF0000"/>
      <name val="Meiryo UI"/>
      <family val="3"/>
      <charset val="128"/>
    </font>
  </fonts>
  <fills count="13">
    <fill>
      <patternFill patternType="none"/>
    </fill>
    <fill>
      <patternFill patternType="gray125"/>
    </fill>
    <fill>
      <patternFill patternType="solid">
        <fgColor theme="5" tint="0.3999755851924192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theme="9" tint="0.79998168889431442"/>
      </patternFill>
    </fill>
    <fill>
      <patternFill patternType="solid">
        <fgColor theme="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thin">
        <color auto="1"/>
      </left>
      <right style="dashed">
        <color auto="1"/>
      </right>
      <top style="dashed">
        <color auto="1"/>
      </top>
      <bottom style="dashed">
        <color auto="1"/>
      </bottom>
      <diagonal/>
    </border>
    <border>
      <left style="dashed">
        <color auto="1"/>
      </left>
      <right style="thin">
        <color auto="1"/>
      </right>
      <top style="thin">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n">
        <color auto="1"/>
      </right>
      <top style="dashed">
        <color auto="1"/>
      </top>
      <bottom style="dashed">
        <color auto="1"/>
      </bottom>
      <diagonal/>
    </border>
    <border>
      <left style="dashed">
        <color auto="1"/>
      </left>
      <right style="dashed">
        <color auto="1"/>
      </right>
      <top/>
      <bottom style="dashed">
        <color auto="1"/>
      </bottom>
      <diagonal/>
    </border>
    <border>
      <left style="thin">
        <color auto="1"/>
      </left>
      <right style="dashed">
        <color auto="1"/>
      </right>
      <top style="dashed">
        <color auto="1"/>
      </top>
      <bottom style="thin">
        <color auto="1"/>
      </bottom>
      <diagonal/>
    </border>
    <border>
      <left style="dashed">
        <color auto="1"/>
      </left>
      <right style="dashed">
        <color auto="1"/>
      </right>
      <top style="dashed">
        <color auto="1"/>
      </top>
      <bottom style="thin">
        <color auto="1"/>
      </bottom>
      <diagonal/>
    </border>
    <border>
      <left/>
      <right/>
      <top/>
      <bottom style="thin">
        <color auto="1"/>
      </bottom>
      <diagonal/>
    </border>
    <border>
      <left style="dashed">
        <color auto="1"/>
      </left>
      <right style="thin">
        <color auto="1"/>
      </right>
      <top style="dashed">
        <color auto="1"/>
      </top>
      <bottom style="thin">
        <color auto="1"/>
      </bottom>
      <diagonal/>
    </border>
    <border>
      <left style="thin">
        <color indexed="64"/>
      </left>
      <right style="dashed">
        <color theme="0" tint="-0.499984740745262"/>
      </right>
      <top style="thin">
        <color indexed="64"/>
      </top>
      <bottom style="dashed">
        <color theme="0" tint="-0.499984740745262"/>
      </bottom>
      <diagonal/>
    </border>
    <border>
      <left style="dashed">
        <color theme="0" tint="-0.499984740745262"/>
      </left>
      <right style="dashed">
        <color theme="0" tint="-0.499984740745262"/>
      </right>
      <top style="thin">
        <color indexed="64"/>
      </top>
      <bottom style="dashed">
        <color theme="0" tint="-0.499984740745262"/>
      </bottom>
      <diagonal/>
    </border>
    <border>
      <left style="dashed">
        <color theme="0" tint="-0.499984740745262"/>
      </left>
      <right style="thin">
        <color indexed="64"/>
      </right>
      <top style="thin">
        <color indexed="64"/>
      </top>
      <bottom style="dashed">
        <color theme="0" tint="-0.499984740745262"/>
      </bottom>
      <diagonal/>
    </border>
    <border>
      <left style="dashed">
        <color theme="0" tint="-0.499984740745262"/>
      </left>
      <right style="thin">
        <color indexed="64"/>
      </right>
      <top style="dashed">
        <color theme="0" tint="-0.499984740745262"/>
      </top>
      <bottom style="dashed">
        <color theme="0" tint="-0.499984740745262"/>
      </bottom>
      <diagonal/>
    </border>
    <border>
      <left style="thin">
        <color indexed="64"/>
      </left>
      <right style="dashed">
        <color theme="0" tint="-0.499984740745262"/>
      </right>
      <top style="dashed">
        <color theme="0" tint="-0.499984740745262"/>
      </top>
      <bottom style="dashed">
        <color theme="0" tint="-0.499984740745262"/>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style="thin">
        <color indexed="64"/>
      </left>
      <right style="dashed">
        <color theme="0" tint="-0.499984740745262"/>
      </right>
      <top style="dashed">
        <color theme="0" tint="-0.499984740745262"/>
      </top>
      <bottom/>
      <diagonal/>
    </border>
    <border>
      <left style="dashed">
        <color theme="0" tint="-0.499984740745262"/>
      </left>
      <right style="dashed">
        <color theme="0" tint="-0.499984740745262"/>
      </right>
      <top style="dashed">
        <color theme="0" tint="-0.499984740745262"/>
      </top>
      <bottom/>
      <diagonal/>
    </border>
    <border>
      <left style="dashed">
        <color theme="0" tint="-0.499984740745262"/>
      </left>
      <right style="thin">
        <color indexed="64"/>
      </right>
      <top style="dashed">
        <color theme="0" tint="-0.499984740745262"/>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dashed">
        <color theme="0" tint="-0.499984740745262"/>
      </right>
      <top style="dashed">
        <color theme="0" tint="-0.499984740745262"/>
      </top>
      <bottom style="thin">
        <color indexed="64"/>
      </bottom>
      <diagonal/>
    </border>
    <border>
      <left style="dashed">
        <color theme="0" tint="-0.499984740745262"/>
      </left>
      <right style="thin">
        <color indexed="64"/>
      </right>
      <top style="dashed">
        <color theme="0" tint="-0.499984740745262"/>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top style="thin">
        <color theme="9" tint="0.39997558519241921"/>
      </top>
      <bottom style="thin">
        <color theme="9" tint="0.39997558519241921"/>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theme="9" tint="0.39997558519241921"/>
      </top>
      <bottom/>
      <diagonal/>
    </border>
  </borders>
  <cellStyleXfs count="4">
    <xf numFmtId="0" fontId="0" fillId="0" borderId="0">
      <alignment vertical="center"/>
    </xf>
    <xf numFmtId="0" fontId="11" fillId="0" borderId="0" applyNumberFormat="0" applyFill="0" applyBorder="0" applyAlignment="0" applyProtection="0">
      <alignment vertical="center"/>
    </xf>
    <xf numFmtId="0" fontId="13" fillId="0" borderId="0">
      <alignment vertical="center"/>
    </xf>
    <xf numFmtId="38" fontId="12" fillId="0" borderId="0" applyFont="0" applyFill="0" applyBorder="0" applyAlignment="0" applyProtection="0">
      <alignment vertical="center"/>
    </xf>
  </cellStyleXfs>
  <cellXfs count="256">
    <xf numFmtId="0" fontId="0" fillId="0" borderId="0" xfId="0">
      <alignment vertical="center"/>
    </xf>
    <xf numFmtId="0" fontId="2" fillId="0" borderId="0" xfId="0" applyFont="1">
      <alignment vertical="center"/>
    </xf>
    <xf numFmtId="0" fontId="2" fillId="0" borderId="0" xfId="0" applyFont="1" applyAlignment="1">
      <alignment horizontal="right" vertical="center"/>
    </xf>
    <xf numFmtId="0" fontId="2" fillId="0" borderId="1" xfId="0" applyFont="1" applyBorder="1">
      <alignment vertical="center"/>
    </xf>
    <xf numFmtId="31" fontId="2" fillId="0" borderId="1" xfId="0" applyNumberFormat="1" applyFont="1" applyBorder="1">
      <alignment vertical="center"/>
    </xf>
    <xf numFmtId="0" fontId="2" fillId="0" borderId="1" xfId="0" applyFont="1" applyBorder="1" applyAlignment="1">
      <alignment vertical="center" wrapText="1"/>
    </xf>
    <xf numFmtId="0" fontId="2" fillId="0" borderId="7" xfId="0" applyFont="1" applyBorder="1">
      <alignment vertical="center"/>
    </xf>
    <xf numFmtId="0" fontId="2" fillId="0" borderId="1" xfId="0" applyFont="1" applyBorder="1" applyAlignment="1">
      <alignment horizontal="center" vertical="center"/>
    </xf>
    <xf numFmtId="0" fontId="4" fillId="0" borderId="1" xfId="0" applyFont="1" applyBorder="1" applyAlignment="1">
      <alignment vertical="top" wrapText="1"/>
    </xf>
    <xf numFmtId="0" fontId="5" fillId="0" borderId="1" xfId="0" applyFont="1" applyBorder="1" applyAlignment="1">
      <alignment vertical="center" wrapText="1"/>
    </xf>
    <xf numFmtId="0" fontId="5" fillId="0" borderId="1" xfId="0" applyFont="1" applyBorder="1">
      <alignment vertical="center"/>
    </xf>
    <xf numFmtId="31" fontId="5" fillId="0" borderId="1" xfId="0" applyNumberFormat="1" applyFont="1" applyBorder="1">
      <alignment vertical="center"/>
    </xf>
    <xf numFmtId="55" fontId="5" fillId="0" borderId="1" xfId="0" applyNumberFormat="1" applyFont="1" applyBorder="1">
      <alignment vertical="center"/>
    </xf>
    <xf numFmtId="55" fontId="5" fillId="0" borderId="1" xfId="0" applyNumberFormat="1" applyFont="1" applyBorder="1" applyAlignment="1">
      <alignment horizontal="center" vertical="center"/>
    </xf>
    <xf numFmtId="0" fontId="2" fillId="0" borderId="3"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alignment vertical="center"/>
    </xf>
    <xf numFmtId="14" fontId="8" fillId="0" borderId="0" xfId="0" applyNumberFormat="1" applyFont="1" applyAlignment="1">
      <alignment horizontal="center" vertical="center"/>
    </xf>
    <xf numFmtId="0" fontId="7" fillId="0" borderId="0" xfId="0" applyFont="1">
      <alignment vertical="center"/>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7" fillId="0" borderId="0" xfId="0" applyFont="1" applyAlignment="1">
      <alignment horizontal="center" vertical="center" wrapText="1"/>
    </xf>
    <xf numFmtId="55" fontId="7" fillId="0" borderId="0" xfId="0" applyNumberFormat="1" applyFont="1" applyAlignment="1">
      <alignment horizontal="center" vertical="center"/>
    </xf>
    <xf numFmtId="0" fontId="7" fillId="0" borderId="0" xfId="0" applyFont="1" applyAlignment="1">
      <alignment horizontal="center" vertical="center" wrapText="1" readingOrder="1"/>
    </xf>
    <xf numFmtId="14" fontId="7" fillId="0" borderId="1" xfId="0" applyNumberFormat="1" applyFont="1" applyBorder="1" applyAlignment="1">
      <alignment horizontal="center" vertical="center"/>
    </xf>
    <xf numFmtId="31" fontId="7" fillId="0" borderId="1" xfId="0" applyNumberFormat="1" applyFont="1" applyBorder="1" applyAlignment="1">
      <alignment horizontal="center" vertical="center"/>
    </xf>
    <xf numFmtId="0" fontId="7" fillId="0" borderId="0" xfId="0" applyFont="1" applyAlignment="1">
      <alignment horizontal="center" vertical="center"/>
    </xf>
    <xf numFmtId="0" fontId="6" fillId="0" borderId="1" xfId="0" applyFont="1" applyBorder="1" applyAlignment="1">
      <alignment horizontal="center" vertical="center"/>
    </xf>
    <xf numFmtId="176" fontId="7" fillId="0" borderId="1" xfId="0" applyNumberFormat="1" applyFont="1" applyBorder="1" applyAlignment="1">
      <alignment horizontal="center" vertical="center" wrapText="1"/>
    </xf>
    <xf numFmtId="14" fontId="8" fillId="0" borderId="1" xfId="0" applyNumberFormat="1" applyFont="1" applyBorder="1" applyAlignment="1">
      <alignment horizontal="center" vertical="center" wrapText="1"/>
    </xf>
    <xf numFmtId="31" fontId="7" fillId="0" borderId="0" xfId="0" applyNumberFormat="1" applyFont="1" applyAlignment="1">
      <alignment horizontal="center" vertical="center"/>
    </xf>
    <xf numFmtId="14" fontId="8" fillId="0" borderId="0" xfId="0" applyNumberFormat="1" applyFont="1" applyAlignment="1">
      <alignment horizontal="center" vertical="center" wrapText="1"/>
    </xf>
    <xf numFmtId="0" fontId="8" fillId="0" borderId="0" xfId="0" applyFont="1" applyAlignment="1">
      <alignment horizontal="center" vertical="center" wrapText="1"/>
    </xf>
    <xf numFmtId="31" fontId="7" fillId="0" borderId="0" xfId="0" applyNumberFormat="1" applyFont="1" applyAlignment="1">
      <alignment horizontal="center" vertical="center" wrapText="1"/>
    </xf>
    <xf numFmtId="0" fontId="8" fillId="0" borderId="0" xfId="0" applyFont="1" applyAlignment="1">
      <alignment horizontal="center" vertical="center"/>
    </xf>
    <xf numFmtId="177" fontId="8" fillId="0" borderId="0" xfId="0" applyNumberFormat="1" applyFont="1" applyAlignment="1">
      <alignment horizontal="center" vertical="center" wrapText="1" shrinkToFit="1"/>
    </xf>
    <xf numFmtId="176" fontId="7" fillId="0" borderId="0" xfId="0" applyNumberFormat="1" applyFont="1" applyAlignment="1">
      <alignment horizontal="center" vertical="center"/>
    </xf>
    <xf numFmtId="0" fontId="10" fillId="0" borderId="0" xfId="0" applyFont="1" applyAlignment="1">
      <alignment horizontal="center" vertical="center"/>
    </xf>
    <xf numFmtId="0" fontId="7" fillId="0" borderId="0" xfId="0" applyFont="1" applyAlignment="1">
      <alignment horizontal="right" vertical="center"/>
    </xf>
    <xf numFmtId="0" fontId="10" fillId="0" borderId="0" xfId="0" applyFont="1" applyAlignment="1">
      <alignment horizontal="left" vertical="center"/>
    </xf>
    <xf numFmtId="176" fontId="7" fillId="0" borderId="1" xfId="0" applyNumberFormat="1" applyFont="1" applyBorder="1" applyAlignment="1">
      <alignment horizontal="center" vertical="center"/>
    </xf>
    <xf numFmtId="0" fontId="8" fillId="0" borderId="1" xfId="0" applyFont="1" applyBorder="1" applyAlignment="1">
      <alignment horizontal="center" vertical="center"/>
    </xf>
    <xf numFmtId="0" fontId="8" fillId="0" borderId="1" xfId="0" applyFont="1" applyBorder="1" applyAlignment="1">
      <alignment horizontal="center" vertical="center" wrapText="1"/>
    </xf>
    <xf numFmtId="14" fontId="8" fillId="0" borderId="1" xfId="0" applyNumberFormat="1" applyFont="1" applyBorder="1" applyAlignment="1">
      <alignment horizontal="center" vertical="center"/>
    </xf>
    <xf numFmtId="49" fontId="8" fillId="0" borderId="1" xfId="0" applyNumberFormat="1" applyFont="1" applyBorder="1" applyAlignment="1">
      <alignment horizontal="center" vertical="center" wrapText="1"/>
    </xf>
    <xf numFmtId="177" fontId="8" fillId="0" borderId="1" xfId="0" applyNumberFormat="1" applyFont="1" applyBorder="1" applyAlignment="1">
      <alignment horizontal="center" vertical="center" wrapText="1" shrinkToFit="1"/>
    </xf>
    <xf numFmtId="56" fontId="7" fillId="0" borderId="1" xfId="0" applyNumberFormat="1" applyFont="1" applyBorder="1" applyAlignment="1">
      <alignment horizontal="center" vertical="center" wrapText="1"/>
    </xf>
    <xf numFmtId="55" fontId="7" fillId="0" borderId="1" xfId="0" applyNumberFormat="1" applyFont="1" applyBorder="1" applyAlignment="1">
      <alignment horizontal="center" vertical="center" wrapText="1"/>
    </xf>
    <xf numFmtId="0" fontId="0" fillId="0" borderId="1" xfId="0" applyBorder="1" applyAlignment="1">
      <alignment horizontal="center" vertical="center"/>
    </xf>
    <xf numFmtId="0" fontId="11" fillId="0" borderId="1" xfId="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lignment vertical="center"/>
    </xf>
    <xf numFmtId="14" fontId="0" fillId="0" borderId="0" xfId="0" applyNumberFormat="1">
      <alignment vertical="center"/>
    </xf>
    <xf numFmtId="0" fontId="0" fillId="0" borderId="13" xfId="0" applyBorder="1">
      <alignment vertical="center"/>
    </xf>
    <xf numFmtId="14" fontId="7" fillId="0" borderId="14" xfId="0" applyNumberFormat="1" applyFont="1" applyBorder="1">
      <alignment vertical="center"/>
    </xf>
    <xf numFmtId="0" fontId="7" fillId="0" borderId="15" xfId="0" applyFont="1" applyBorder="1">
      <alignment vertical="center"/>
    </xf>
    <xf numFmtId="0" fontId="9" fillId="0" borderId="15" xfId="0" applyFont="1" applyBorder="1">
      <alignment vertical="center"/>
    </xf>
    <xf numFmtId="0" fontId="0" fillId="0" borderId="17" xfId="0" applyBorder="1">
      <alignment vertical="center"/>
    </xf>
    <xf numFmtId="14" fontId="7" fillId="0" borderId="18" xfId="0" applyNumberFormat="1" applyFont="1" applyBorder="1">
      <alignment vertical="center"/>
    </xf>
    <xf numFmtId="14" fontId="7" fillId="0" borderId="1" xfId="0" applyNumberFormat="1" applyFont="1" applyBorder="1" applyAlignment="1">
      <alignment horizontal="center" vertical="center" wrapText="1"/>
    </xf>
    <xf numFmtId="0" fontId="7" fillId="0" borderId="14" xfId="0" applyFont="1" applyBorder="1">
      <alignment vertical="center"/>
    </xf>
    <xf numFmtId="0" fontId="7" fillId="0" borderId="16" xfId="0" applyFont="1" applyBorder="1">
      <alignment vertical="center"/>
    </xf>
    <xf numFmtId="0" fontId="9" fillId="0" borderId="14" xfId="0" applyFont="1" applyBorder="1">
      <alignment vertical="center"/>
    </xf>
    <xf numFmtId="0" fontId="9" fillId="0" borderId="19" xfId="0" applyFont="1" applyBorder="1">
      <alignment vertical="center"/>
    </xf>
    <xf numFmtId="0" fontId="0" fillId="0" borderId="1" xfId="0" applyBorder="1">
      <alignment vertical="center"/>
    </xf>
    <xf numFmtId="0" fontId="7" fillId="0" borderId="1" xfId="0" applyFont="1" applyBorder="1" applyAlignment="1">
      <alignment horizontal="left" vertical="top"/>
    </xf>
    <xf numFmtId="0" fontId="7" fillId="0" borderId="1" xfId="0" applyFont="1" applyBorder="1" applyAlignment="1">
      <alignment horizontal="center" vertical="center" wrapText="1" readingOrder="1"/>
    </xf>
    <xf numFmtId="0" fontId="9" fillId="0" borderId="20" xfId="0" applyFont="1" applyBorder="1" applyAlignment="1">
      <alignment vertical="center" wrapText="1"/>
    </xf>
    <xf numFmtId="0" fontId="14" fillId="0" borderId="0" xfId="2" applyFont="1">
      <alignment vertical="center"/>
    </xf>
    <xf numFmtId="0" fontId="13" fillId="0" borderId="0" xfId="2">
      <alignment vertical="center"/>
    </xf>
    <xf numFmtId="0" fontId="13" fillId="0" borderId="0" xfId="2" applyAlignment="1">
      <alignment horizontal="left" vertical="center"/>
    </xf>
    <xf numFmtId="0" fontId="13" fillId="0" borderId="3" xfId="2" applyBorder="1" applyAlignment="1">
      <alignment horizontal="center" vertical="center"/>
    </xf>
    <xf numFmtId="0" fontId="13" fillId="0" borderId="9" xfId="2" applyBorder="1" applyAlignment="1">
      <alignment horizontal="center" vertical="center"/>
    </xf>
    <xf numFmtId="0" fontId="13" fillId="0" borderId="3" xfId="2" applyBorder="1" applyAlignment="1">
      <alignment horizontal="center" vertical="center" wrapText="1"/>
    </xf>
    <xf numFmtId="0" fontId="13" fillId="0" borderId="21" xfId="2" applyBorder="1" applyAlignment="1">
      <alignment horizontal="center" vertical="center"/>
    </xf>
    <xf numFmtId="0" fontId="17" fillId="2" borderId="22" xfId="2" applyFont="1" applyFill="1" applyBorder="1" applyAlignment="1"/>
    <xf numFmtId="0" fontId="17" fillId="2" borderId="22" xfId="2" applyFont="1" applyFill="1" applyBorder="1" applyAlignment="1">
      <alignment horizontal="center"/>
    </xf>
    <xf numFmtId="0" fontId="17" fillId="3" borderId="23" xfId="2" quotePrefix="1" applyFont="1" applyFill="1" applyBorder="1" applyAlignment="1"/>
    <xf numFmtId="0" fontId="17" fillId="3" borderId="23" xfId="2" applyFont="1" applyFill="1" applyBorder="1" applyAlignment="1"/>
    <xf numFmtId="0" fontId="17" fillId="0" borderId="22" xfId="2" applyFont="1" applyBorder="1" applyAlignment="1"/>
    <xf numFmtId="0" fontId="18" fillId="0" borderId="22" xfId="2" applyFont="1" applyBorder="1" applyAlignment="1">
      <alignment horizontal="right"/>
    </xf>
    <xf numFmtId="0" fontId="18" fillId="0" borderId="22" xfId="2" applyFont="1" applyBorder="1" applyAlignment="1">
      <alignment horizontal="left"/>
    </xf>
    <xf numFmtId="0" fontId="17" fillId="0" borderId="22" xfId="2" quotePrefix="1" applyFont="1" applyBorder="1" applyAlignment="1"/>
    <xf numFmtId="0" fontId="17" fillId="0" borderId="21" xfId="2" quotePrefix="1" applyFont="1" applyBorder="1" applyAlignment="1"/>
    <xf numFmtId="0" fontId="17" fillId="3" borderId="22" xfId="2" applyFont="1" applyFill="1" applyBorder="1" applyAlignment="1"/>
    <xf numFmtId="0" fontId="13" fillId="4" borderId="21" xfId="2" applyFill="1" applyBorder="1" applyAlignment="1">
      <alignment horizontal="center" vertical="center"/>
    </xf>
    <xf numFmtId="0" fontId="13" fillId="5" borderId="24" xfId="2" applyFill="1" applyBorder="1" applyAlignment="1">
      <alignment horizontal="center" vertical="center"/>
    </xf>
    <xf numFmtId="38" fontId="17" fillId="0" borderId="22" xfId="3" applyFont="1" applyFill="1" applyBorder="1" applyAlignment="1"/>
    <xf numFmtId="38" fontId="17" fillId="0" borderId="23" xfId="3" applyFont="1" applyFill="1" applyBorder="1" applyAlignment="1"/>
    <xf numFmtId="0" fontId="13" fillId="0" borderId="25" xfId="2" applyBorder="1" applyAlignment="1">
      <alignment horizontal="center" vertical="center"/>
    </xf>
    <xf numFmtId="0" fontId="17" fillId="2" borderId="26" xfId="2" applyFont="1" applyFill="1" applyBorder="1" applyAlignment="1"/>
    <xf numFmtId="0" fontId="17" fillId="2" borderId="26" xfId="2" applyFont="1" applyFill="1" applyBorder="1" applyAlignment="1">
      <alignment horizontal="center"/>
    </xf>
    <xf numFmtId="0" fontId="17" fillId="3" borderId="24" xfId="2" quotePrefix="1" applyFont="1" applyFill="1" applyBorder="1" applyAlignment="1"/>
    <xf numFmtId="0" fontId="17" fillId="6" borderId="24" xfId="2" applyFont="1" applyFill="1" applyBorder="1" applyAlignment="1"/>
    <xf numFmtId="0" fontId="17" fillId="0" borderId="26" xfId="2" applyFont="1" applyBorder="1" applyAlignment="1"/>
    <xf numFmtId="0" fontId="18" fillId="0" borderId="26" xfId="2" applyFont="1" applyBorder="1" applyAlignment="1">
      <alignment horizontal="right"/>
    </xf>
    <xf numFmtId="0" fontId="18" fillId="0" borderId="26" xfId="2" applyFont="1" applyBorder="1" applyAlignment="1">
      <alignment horizontal="left"/>
    </xf>
    <xf numFmtId="0" fontId="17" fillId="0" borderId="26" xfId="2" quotePrefix="1" applyFont="1" applyBorder="1" applyAlignment="1"/>
    <xf numFmtId="0" fontId="17" fillId="0" borderId="25" xfId="2" quotePrefix="1" applyFont="1" applyBorder="1" applyAlignment="1"/>
    <xf numFmtId="0" fontId="17" fillId="6" borderId="26" xfId="2" applyFont="1" applyFill="1" applyBorder="1" applyAlignment="1"/>
    <xf numFmtId="0" fontId="13" fillId="4" borderId="25" xfId="2" applyFill="1" applyBorder="1" applyAlignment="1">
      <alignment horizontal="center" vertical="center"/>
    </xf>
    <xf numFmtId="38" fontId="17" fillId="0" borderId="26" xfId="3" applyFont="1" applyFill="1" applyBorder="1" applyAlignment="1"/>
    <xf numFmtId="38" fontId="17" fillId="0" borderId="24" xfId="3" applyFont="1" applyFill="1" applyBorder="1" applyAlignment="1"/>
    <xf numFmtId="0" fontId="17" fillId="7" borderId="24" xfId="2" applyFont="1" applyFill="1" applyBorder="1" applyAlignment="1"/>
    <xf numFmtId="0" fontId="17" fillId="3" borderId="25" xfId="2" quotePrefix="1" applyFont="1" applyFill="1" applyBorder="1" applyAlignment="1"/>
    <xf numFmtId="0" fontId="17" fillId="7" borderId="26" xfId="2" applyFont="1" applyFill="1" applyBorder="1" applyAlignment="1"/>
    <xf numFmtId="0" fontId="17" fillId="4" borderId="24" xfId="2" applyFont="1" applyFill="1" applyBorder="1" applyAlignment="1"/>
    <xf numFmtId="0" fontId="17" fillId="4" borderId="26" xfId="2" applyFont="1" applyFill="1" applyBorder="1" applyAlignment="1"/>
    <xf numFmtId="0" fontId="17" fillId="0" borderId="24" xfId="2" applyFont="1" applyBorder="1" applyAlignment="1"/>
    <xf numFmtId="0" fontId="19" fillId="0" borderId="25" xfId="2" applyFont="1" applyBorder="1" applyAlignment="1">
      <alignment horizontal="center" vertical="center"/>
    </xf>
    <xf numFmtId="0" fontId="19" fillId="0" borderId="26" xfId="2" applyFont="1" applyBorder="1" applyAlignment="1"/>
    <xf numFmtId="0" fontId="19" fillId="0" borderId="26" xfId="2" applyFont="1" applyBorder="1" applyAlignment="1">
      <alignment horizontal="center"/>
    </xf>
    <xf numFmtId="0" fontId="17" fillId="8" borderId="24" xfId="2" applyFont="1" applyFill="1" applyBorder="1" applyAlignment="1"/>
    <xf numFmtId="0" fontId="19" fillId="0" borderId="26" xfId="2" applyFont="1" applyBorder="1" applyAlignment="1">
      <alignment horizontal="right"/>
    </xf>
    <xf numFmtId="0" fontId="18" fillId="0" borderId="26" xfId="2" applyFont="1" applyBorder="1">
      <alignment vertical="center"/>
    </xf>
    <xf numFmtId="0" fontId="17" fillId="8" borderId="26" xfId="2" applyFont="1" applyFill="1" applyBorder="1" applyAlignment="1"/>
    <xf numFmtId="0" fontId="13" fillId="9" borderId="25" xfId="2" applyFill="1" applyBorder="1" applyAlignment="1">
      <alignment horizontal="center" vertical="center"/>
    </xf>
    <xf numFmtId="0" fontId="13" fillId="9" borderId="24" xfId="2" applyFill="1" applyBorder="1" applyAlignment="1">
      <alignment horizontal="center" vertical="center"/>
    </xf>
    <xf numFmtId="0" fontId="17" fillId="10" borderId="26" xfId="2" applyFont="1" applyFill="1" applyBorder="1" applyAlignment="1">
      <alignment horizontal="center" vertical="center"/>
    </xf>
    <xf numFmtId="0" fontId="17" fillId="3" borderId="24" xfId="2" applyFont="1" applyFill="1" applyBorder="1" applyAlignment="1"/>
    <xf numFmtId="0" fontId="17" fillId="0" borderId="26" xfId="2" applyFont="1" applyBorder="1">
      <alignment vertical="center"/>
    </xf>
    <xf numFmtId="0" fontId="17" fillId="0" borderId="26" xfId="2" applyFont="1" applyBorder="1" applyAlignment="1">
      <alignment horizontal="right" vertical="center"/>
    </xf>
    <xf numFmtId="0" fontId="17" fillId="0" borderId="26" xfId="2" applyFont="1" applyBorder="1" applyAlignment="1">
      <alignment horizontal="left" vertical="center"/>
    </xf>
    <xf numFmtId="0" fontId="17" fillId="3" borderId="26" xfId="2" applyFont="1" applyFill="1" applyBorder="1" applyAlignment="1"/>
    <xf numFmtId="0" fontId="17" fillId="4" borderId="24" xfId="2" quotePrefix="1" applyFont="1" applyFill="1" applyBorder="1" applyAlignment="1"/>
    <xf numFmtId="0" fontId="17" fillId="7" borderId="26" xfId="2" applyFont="1" applyFill="1" applyBorder="1">
      <alignment vertical="center"/>
    </xf>
    <xf numFmtId="0" fontId="17" fillId="7" borderId="26" xfId="2" applyFont="1" applyFill="1" applyBorder="1" applyAlignment="1">
      <alignment horizontal="center" vertical="center"/>
    </xf>
    <xf numFmtId="0" fontId="17" fillId="7" borderId="24" xfId="2" quotePrefix="1" applyFont="1" applyFill="1" applyBorder="1" applyAlignment="1"/>
    <xf numFmtId="0" fontId="18" fillId="0" borderId="26" xfId="2" applyFont="1" applyBorder="1" applyAlignment="1">
      <alignment horizontal="right" vertical="center"/>
    </xf>
    <xf numFmtId="0" fontId="18" fillId="0" borderId="26" xfId="2" applyFont="1" applyBorder="1" applyAlignment="1">
      <alignment horizontal="left" vertical="center"/>
    </xf>
    <xf numFmtId="0" fontId="17" fillId="0" borderId="26" xfId="2" quotePrefix="1" applyFont="1" applyBorder="1" applyAlignment="1">
      <alignment horizontal="left" vertical="center"/>
    </xf>
    <xf numFmtId="0" fontId="17" fillId="0" borderId="26" xfId="2" applyFont="1" applyBorder="1" applyAlignment="1">
      <alignment horizontal="center"/>
    </xf>
    <xf numFmtId="0" fontId="17" fillId="0" borderId="26" xfId="2" applyFont="1" applyBorder="1" applyAlignment="1">
      <alignment horizontal="center" vertical="center"/>
    </xf>
    <xf numFmtId="0" fontId="17" fillId="3" borderId="27" xfId="2" quotePrefix="1" applyFont="1" applyFill="1" applyBorder="1" applyAlignment="1"/>
    <xf numFmtId="0" fontId="17" fillId="0" borderId="27" xfId="2" quotePrefix="1" applyFont="1" applyBorder="1" applyAlignment="1"/>
    <xf numFmtId="0" fontId="17" fillId="7" borderId="24" xfId="2" applyFont="1" applyFill="1" applyBorder="1">
      <alignment vertical="center"/>
    </xf>
    <xf numFmtId="38" fontId="17" fillId="0" borderId="26" xfId="3" applyFont="1" applyFill="1" applyBorder="1">
      <alignment vertical="center"/>
    </xf>
    <xf numFmtId="0" fontId="13" fillId="0" borderId="27" xfId="2" applyBorder="1" applyAlignment="1">
      <alignment horizontal="center" vertical="center"/>
    </xf>
    <xf numFmtId="0" fontId="17" fillId="7" borderId="28" xfId="2" applyFont="1" applyFill="1" applyBorder="1">
      <alignment vertical="center"/>
    </xf>
    <xf numFmtId="0" fontId="17" fillId="7" borderId="28" xfId="2" applyFont="1" applyFill="1" applyBorder="1" applyAlignment="1">
      <alignment horizontal="center" vertical="center"/>
    </xf>
    <xf numFmtId="0" fontId="17" fillId="7" borderId="29" xfId="2" quotePrefix="1" applyFont="1" applyFill="1" applyBorder="1" applyAlignment="1"/>
    <xf numFmtId="0" fontId="17" fillId="7" borderId="29" xfId="2" applyFont="1" applyFill="1" applyBorder="1" applyAlignment="1"/>
    <xf numFmtId="0" fontId="17" fillId="0" borderId="28" xfId="2" applyFont="1" applyBorder="1" applyAlignment="1"/>
    <xf numFmtId="0" fontId="17" fillId="0" borderId="28" xfId="2" applyFont="1" applyBorder="1" applyAlignment="1">
      <alignment horizontal="right" vertical="center"/>
    </xf>
    <xf numFmtId="0" fontId="18" fillId="0" borderId="28" xfId="2" applyFont="1" applyBorder="1">
      <alignment vertical="center"/>
    </xf>
    <xf numFmtId="0" fontId="17" fillId="7" borderId="28" xfId="2" applyFont="1" applyFill="1" applyBorder="1" applyAlignment="1"/>
    <xf numFmtId="38" fontId="17" fillId="0" borderId="28" xfId="3" applyFont="1" applyFill="1" applyBorder="1" applyAlignment="1"/>
    <xf numFmtId="38" fontId="17" fillId="0" borderId="29" xfId="3" applyFont="1" applyFill="1" applyBorder="1" applyAlignment="1"/>
    <xf numFmtId="0" fontId="13" fillId="0" borderId="30" xfId="2" applyBorder="1" applyAlignment="1">
      <alignment horizontal="center" vertical="center"/>
    </xf>
    <xf numFmtId="0" fontId="17" fillId="0" borderId="31" xfId="2" applyFont="1" applyBorder="1">
      <alignment vertical="center"/>
    </xf>
    <xf numFmtId="0" fontId="17" fillId="0" borderId="31" xfId="2" applyFont="1" applyBorder="1" applyAlignment="1">
      <alignment horizontal="center" vertical="center"/>
    </xf>
    <xf numFmtId="0" fontId="17" fillId="7" borderId="32" xfId="2" quotePrefix="1" applyFont="1" applyFill="1" applyBorder="1" applyAlignment="1"/>
    <xf numFmtId="0" fontId="17" fillId="7" borderId="32" xfId="2" applyFont="1" applyFill="1" applyBorder="1">
      <alignment vertical="center"/>
    </xf>
    <xf numFmtId="0" fontId="17" fillId="0" borderId="31" xfId="2" applyFont="1" applyBorder="1" applyAlignment="1"/>
    <xf numFmtId="0" fontId="18" fillId="0" borderId="31" xfId="2" applyFont="1" applyBorder="1">
      <alignment vertical="center"/>
    </xf>
    <xf numFmtId="0" fontId="17" fillId="7" borderId="31" xfId="2" applyFont="1" applyFill="1" applyBorder="1">
      <alignment vertical="center"/>
    </xf>
    <xf numFmtId="38" fontId="17" fillId="0" borderId="31" xfId="3" applyFont="1" applyFill="1" applyBorder="1">
      <alignment vertical="center"/>
    </xf>
    <xf numFmtId="38" fontId="17" fillId="0" borderId="32" xfId="3" applyFont="1" applyFill="1" applyBorder="1" applyAlignment="1"/>
    <xf numFmtId="0" fontId="17" fillId="8" borderId="32" xfId="2" applyFont="1" applyFill="1" applyBorder="1" applyAlignment="1"/>
    <xf numFmtId="0" fontId="17" fillId="8" borderId="31" xfId="2" applyFont="1" applyFill="1" applyBorder="1" applyAlignment="1"/>
    <xf numFmtId="0" fontId="13" fillId="0" borderId="33" xfId="2" applyBorder="1" applyAlignment="1">
      <alignment horizontal="center" vertical="center"/>
    </xf>
    <xf numFmtId="0" fontId="17" fillId="0" borderId="34" xfId="2" applyFont="1" applyBorder="1">
      <alignment vertical="center"/>
    </xf>
    <xf numFmtId="0" fontId="17" fillId="0" borderId="34" xfId="2" applyFont="1" applyBorder="1" applyAlignment="1">
      <alignment horizontal="center" vertical="center"/>
    </xf>
    <xf numFmtId="0" fontId="17" fillId="7" borderId="35" xfId="2" quotePrefix="1" applyFont="1" applyFill="1" applyBorder="1" applyAlignment="1"/>
    <xf numFmtId="0" fontId="17" fillId="4" borderId="35" xfId="2" applyFont="1" applyFill="1" applyBorder="1" applyAlignment="1"/>
    <xf numFmtId="0" fontId="17" fillId="0" borderId="34" xfId="2" applyFont="1" applyBorder="1" applyAlignment="1"/>
    <xf numFmtId="0" fontId="17" fillId="0" borderId="34" xfId="2" applyFont="1" applyBorder="1" applyAlignment="1">
      <alignment horizontal="left" vertical="center"/>
    </xf>
    <xf numFmtId="0" fontId="18" fillId="0" borderId="34" xfId="2" applyFont="1" applyBorder="1">
      <alignment vertical="center"/>
    </xf>
    <xf numFmtId="0" fontId="17" fillId="3" borderId="36" xfId="2" quotePrefix="1" applyFont="1" applyFill="1" applyBorder="1" applyAlignment="1"/>
    <xf numFmtId="0" fontId="17" fillId="4" borderId="34" xfId="2" applyFont="1" applyFill="1" applyBorder="1" applyAlignment="1"/>
    <xf numFmtId="0" fontId="13" fillId="5" borderId="37" xfId="2" applyFill="1" applyBorder="1" applyAlignment="1">
      <alignment horizontal="center" vertical="center"/>
    </xf>
    <xf numFmtId="38" fontId="17" fillId="0" borderId="34" xfId="3" applyFont="1" applyFill="1" applyBorder="1">
      <alignment vertical="center"/>
    </xf>
    <xf numFmtId="38" fontId="17" fillId="0" borderId="35" xfId="3" applyFont="1" applyFill="1" applyBorder="1" applyAlignment="1"/>
    <xf numFmtId="38" fontId="13" fillId="0" borderId="0" xfId="2" applyNumberFormat="1">
      <alignment vertical="center"/>
    </xf>
    <xf numFmtId="0" fontId="17" fillId="0" borderId="1" xfId="0" applyFont="1" applyBorder="1" applyAlignment="1">
      <alignment horizontal="center" vertical="center"/>
    </xf>
    <xf numFmtId="0" fontId="11" fillId="0" borderId="1" xfId="1" applyNumberFormat="1" applyFill="1" applyBorder="1" applyAlignment="1">
      <alignment horizontal="center" vertical="center"/>
    </xf>
    <xf numFmtId="0" fontId="11" fillId="10" borderId="1" xfId="1" applyNumberFormat="1" applyFill="1" applyBorder="1" applyAlignment="1">
      <alignment horizontal="center" vertical="center"/>
    </xf>
    <xf numFmtId="0" fontId="11" fillId="10" borderId="0" xfId="1" applyFill="1" applyAlignment="1">
      <alignment horizontal="center" vertical="center"/>
    </xf>
    <xf numFmtId="0" fontId="7" fillId="0" borderId="1" xfId="0" applyFont="1" applyBorder="1" applyAlignment="1">
      <alignment horizontal="centerContinuous" vertical="center"/>
    </xf>
    <xf numFmtId="0" fontId="7" fillId="0" borderId="38" xfId="0" applyFont="1" applyBorder="1" applyAlignment="1">
      <alignment horizontal="center" vertical="center"/>
    </xf>
    <xf numFmtId="0" fontId="7" fillId="0" borderId="39" xfId="0" applyFont="1" applyBorder="1" applyAlignment="1">
      <alignment horizontal="center" vertical="center"/>
    </xf>
    <xf numFmtId="0" fontId="7" fillId="0" borderId="40" xfId="0" applyFont="1" applyBorder="1" applyAlignment="1">
      <alignment horizontal="center" vertical="center"/>
    </xf>
    <xf numFmtId="0" fontId="7" fillId="0" borderId="38" xfId="0" applyFont="1" applyBorder="1" applyAlignment="1">
      <alignment horizontal="center" vertical="center" wrapText="1"/>
    </xf>
    <xf numFmtId="0" fontId="7" fillId="0" borderId="39" xfId="0" applyFont="1" applyBorder="1" applyAlignment="1">
      <alignment horizontal="center" vertical="center" wrapText="1"/>
    </xf>
    <xf numFmtId="0" fontId="7" fillId="0" borderId="40" xfId="0" applyFont="1" applyBorder="1" applyAlignment="1">
      <alignment horizontal="center" vertical="center" wrapText="1"/>
    </xf>
    <xf numFmtId="14" fontId="7" fillId="0" borderId="0" xfId="0" applyNumberFormat="1" applyFont="1">
      <alignment vertical="center"/>
    </xf>
    <xf numFmtId="0" fontId="9" fillId="0" borderId="0" xfId="0" applyFont="1">
      <alignment vertical="center"/>
    </xf>
    <xf numFmtId="0" fontId="9" fillId="0" borderId="0" xfId="0" applyFont="1" applyAlignment="1">
      <alignment vertical="center" wrapText="1"/>
    </xf>
    <xf numFmtId="0" fontId="9" fillId="0" borderId="1" xfId="0" applyFont="1" applyBorder="1" applyAlignment="1">
      <alignment horizontal="center" vertical="center"/>
    </xf>
    <xf numFmtId="14" fontId="9" fillId="0" borderId="1" xfId="0" applyNumberFormat="1" applyFont="1" applyBorder="1">
      <alignment vertical="center"/>
    </xf>
    <xf numFmtId="14" fontId="9" fillId="12" borderId="0" xfId="0" applyNumberFormat="1" applyFont="1" applyFill="1" applyAlignment="1">
      <alignment horizontal="center" vertical="center"/>
    </xf>
    <xf numFmtId="14" fontId="9" fillId="11" borderId="41" xfId="0" applyNumberFormat="1" applyFont="1" applyFill="1" applyBorder="1" applyAlignment="1">
      <alignment horizontal="center" vertical="center"/>
    </xf>
    <xf numFmtId="14" fontId="9" fillId="12" borderId="41" xfId="0" applyNumberFormat="1" applyFont="1" applyFill="1" applyBorder="1" applyAlignment="1">
      <alignment horizontal="center" vertical="center"/>
    </xf>
    <xf numFmtId="14" fontId="9" fillId="11" borderId="1" xfId="0" applyNumberFormat="1" applyFont="1" applyFill="1" applyBorder="1" applyAlignment="1">
      <alignment horizontal="center" vertical="center"/>
    </xf>
    <xf numFmtId="14" fontId="9" fillId="12" borderId="1" xfId="0" applyNumberFormat="1" applyFont="1" applyFill="1" applyBorder="1" applyAlignment="1">
      <alignment horizontal="center" vertical="center"/>
    </xf>
    <xf numFmtId="0" fontId="7" fillId="0" borderId="1" xfId="0" applyFont="1" applyBorder="1" applyAlignment="1">
      <alignment horizontal="left" vertical="top" wrapText="1"/>
    </xf>
    <xf numFmtId="0" fontId="7" fillId="0" borderId="2" xfId="0" applyFont="1" applyBorder="1" applyAlignment="1">
      <alignment horizontal="center" vertical="center"/>
    </xf>
    <xf numFmtId="0" fontId="7" fillId="0" borderId="6" xfId="0" applyFont="1" applyBorder="1" applyAlignment="1">
      <alignment horizontal="center" vertical="center"/>
    </xf>
    <xf numFmtId="0" fontId="7" fillId="0" borderId="5" xfId="0" applyFont="1" applyBorder="1" applyAlignment="1">
      <alignment horizontal="center" vertical="center"/>
    </xf>
    <xf numFmtId="0" fontId="7" fillId="0" borderId="5" xfId="0" applyFont="1" applyBorder="1" applyAlignment="1">
      <alignment horizontal="center" vertical="center" wrapText="1"/>
    </xf>
    <xf numFmtId="0" fontId="7" fillId="0" borderId="42" xfId="0" applyFont="1" applyBorder="1" applyAlignment="1">
      <alignment horizontal="center" vertical="center"/>
    </xf>
    <xf numFmtId="0" fontId="7" fillId="0" borderId="2" xfId="0" applyFont="1" applyBorder="1" applyAlignment="1">
      <alignment horizontal="center" vertical="center" wrapText="1"/>
    </xf>
    <xf numFmtId="0" fontId="7" fillId="10" borderId="2" xfId="0" applyFont="1" applyFill="1" applyBorder="1" applyAlignment="1">
      <alignment horizontal="center" vertical="center"/>
    </xf>
    <xf numFmtId="14" fontId="7" fillId="12" borderId="2" xfId="0" applyNumberFormat="1" applyFont="1" applyFill="1" applyBorder="1" applyAlignment="1">
      <alignment horizontal="center" vertical="center"/>
    </xf>
    <xf numFmtId="0" fontId="7" fillId="0" borderId="43" xfId="0" applyFont="1" applyBorder="1" applyAlignment="1">
      <alignment horizontal="center" vertical="center"/>
    </xf>
    <xf numFmtId="14" fontId="9" fillId="0" borderId="1" xfId="0" applyNumberFormat="1" applyFont="1" applyBorder="1" applyAlignment="1">
      <alignment horizontal="center" vertical="center"/>
    </xf>
    <xf numFmtId="0" fontId="7" fillId="0" borderId="9" xfId="0" applyFont="1" applyFill="1" applyBorder="1" applyAlignment="1">
      <alignment horizontal="center" vertical="center"/>
    </xf>
    <xf numFmtId="0" fontId="7" fillId="0" borderId="3" xfId="0" applyFont="1" applyFill="1" applyBorder="1" applyAlignment="1">
      <alignment horizontal="center" vertical="center"/>
    </xf>
    <xf numFmtId="0" fontId="11" fillId="0" borderId="3" xfId="1" applyFill="1" applyBorder="1" applyAlignment="1">
      <alignment horizontal="center" vertical="center"/>
    </xf>
    <xf numFmtId="0" fontId="7" fillId="0" borderId="3" xfId="0" applyNumberFormat="1" applyFont="1" applyFill="1" applyBorder="1" applyAlignment="1">
      <alignment horizontal="center" vertical="center"/>
    </xf>
    <xf numFmtId="0" fontId="0" fillId="0" borderId="3" xfId="0" applyBorder="1">
      <alignment vertical="center"/>
    </xf>
    <xf numFmtId="0" fontId="7" fillId="0" borderId="3" xfId="0" applyFont="1" applyFill="1" applyBorder="1" applyAlignment="1">
      <alignment horizontal="center" vertical="center" wrapText="1" readingOrder="1"/>
    </xf>
    <xf numFmtId="0" fontId="7" fillId="0" borderId="3" xfId="0" applyFont="1" applyBorder="1" applyAlignment="1">
      <alignment horizontal="center" vertical="center" wrapText="1" readingOrder="1"/>
    </xf>
    <xf numFmtId="14" fontId="9" fillId="11" borderId="3" xfId="0" applyNumberFormat="1" applyFont="1" applyFill="1" applyBorder="1" applyAlignment="1">
      <alignment horizontal="center" vertical="center"/>
    </xf>
    <xf numFmtId="0" fontId="7" fillId="0" borderId="3" xfId="0" applyFont="1" applyFill="1" applyBorder="1" applyAlignment="1">
      <alignment horizontal="center" vertical="center" wrapText="1"/>
    </xf>
    <xf numFmtId="14" fontId="9" fillId="11" borderId="44" xfId="0" applyNumberFormat="1" applyFont="1" applyFill="1" applyBorder="1" applyAlignment="1">
      <alignment horizontal="center" vertical="center"/>
    </xf>
    <xf numFmtId="31" fontId="7" fillId="0" borderId="3" xfId="0" applyNumberFormat="1" applyFont="1" applyFill="1" applyBorder="1" applyAlignment="1">
      <alignment horizontal="center" vertical="center"/>
    </xf>
    <xf numFmtId="0" fontId="8" fillId="0" borderId="3" xfId="0" applyFont="1" applyFill="1" applyBorder="1" applyAlignment="1">
      <alignment horizontal="center" vertical="center"/>
    </xf>
    <xf numFmtId="0" fontId="7" fillId="0" borderId="0" xfId="0" applyFont="1" applyBorder="1" applyAlignment="1">
      <alignment horizontal="center" vertical="center"/>
    </xf>
    <xf numFmtId="14" fontId="8" fillId="0" borderId="3" xfId="0" applyNumberFormat="1" applyFont="1" applyFill="1" applyBorder="1" applyAlignment="1">
      <alignment horizontal="center" vertical="center" wrapText="1"/>
    </xf>
    <xf numFmtId="55" fontId="7" fillId="0" borderId="3" xfId="0" applyNumberFormat="1" applyFont="1" applyFill="1" applyBorder="1" applyAlignment="1">
      <alignment horizontal="center" vertical="center" wrapText="1"/>
    </xf>
    <xf numFmtId="0" fontId="7" fillId="0" borderId="8" xfId="0" applyFont="1" applyFill="1" applyBorder="1" applyAlignment="1">
      <alignment horizontal="center" vertical="center"/>
    </xf>
    <xf numFmtId="177" fontId="7" fillId="0" borderId="3" xfId="0" applyNumberFormat="1" applyFont="1" applyFill="1" applyBorder="1" applyAlignment="1">
      <alignment horizontal="center" vertical="center" wrapText="1"/>
    </xf>
    <xf numFmtId="14" fontId="7" fillId="0" borderId="0" xfId="0" applyNumberFormat="1" applyFont="1" applyFill="1" applyAlignment="1">
      <alignment horizontal="center" vertical="center" wrapText="1"/>
    </xf>
    <xf numFmtId="14" fontId="7" fillId="0" borderId="0" xfId="0" applyNumberFormat="1" applyFont="1" applyFill="1" applyAlignment="1">
      <alignment horizontal="center" vertical="center"/>
    </xf>
    <xf numFmtId="0" fontId="8" fillId="0" borderId="0" xfId="0" applyFont="1" applyBorder="1" applyAlignment="1">
      <alignment horizontal="center" vertical="center" wrapText="1"/>
    </xf>
    <xf numFmtId="0" fontId="7" fillId="0" borderId="3" xfId="0" applyFont="1" applyFill="1" applyBorder="1" applyAlignment="1">
      <alignment horizontal="left" vertical="center" wrapText="1"/>
    </xf>
    <xf numFmtId="179" fontId="7" fillId="0" borderId="3" xfId="0" applyNumberFormat="1" applyFont="1" applyFill="1" applyBorder="1" applyAlignment="1">
      <alignment horizontal="center" vertical="center"/>
    </xf>
    <xf numFmtId="178" fontId="8" fillId="0" borderId="3" xfId="0" applyNumberFormat="1" applyFont="1" applyFill="1" applyBorder="1" applyAlignment="1">
      <alignment horizontal="center" vertical="center" wrapText="1"/>
    </xf>
    <xf numFmtId="0" fontId="20" fillId="0" borderId="0" xfId="2" applyFont="1">
      <alignment vertical="center"/>
    </xf>
    <xf numFmtId="0" fontId="17" fillId="0" borderId="28" xfId="2" applyFont="1" applyBorder="1" applyAlignment="1">
      <alignment horizontal="center" vertical="center"/>
    </xf>
    <xf numFmtId="0" fontId="19" fillId="0" borderId="26" xfId="2" applyFont="1" applyBorder="1" applyAlignment="1">
      <alignment horizontal="center" vertical="center"/>
    </xf>
    <xf numFmtId="0" fontId="17" fillId="0" borderId="22" xfId="2" applyFont="1" applyBorder="1" applyAlignment="1">
      <alignment horizontal="center" vertical="center"/>
    </xf>
    <xf numFmtId="0" fontId="21" fillId="0" borderId="26" xfId="2" applyFont="1" applyBorder="1" applyAlignment="1">
      <alignment horizontal="center" vertical="center"/>
    </xf>
    <xf numFmtId="0" fontId="21" fillId="0" borderId="31" xfId="2" applyFont="1" applyBorder="1" applyAlignment="1">
      <alignment horizontal="center" vertical="center"/>
    </xf>
    <xf numFmtId="0" fontId="21" fillId="0" borderId="34" xfId="2" applyFont="1" applyBorder="1" applyAlignment="1">
      <alignment horizontal="center" vertical="center"/>
    </xf>
    <xf numFmtId="0" fontId="13" fillId="0" borderId="0" xfId="2" applyBorder="1" applyAlignment="1">
      <alignment horizontal="center" vertical="center"/>
    </xf>
    <xf numFmtId="0" fontId="21" fillId="0" borderId="1" xfId="2" applyFont="1" applyBorder="1" applyAlignment="1">
      <alignment vertical="center"/>
    </xf>
    <xf numFmtId="0" fontId="21" fillId="0" borderId="1" xfId="2" applyFont="1" applyBorder="1">
      <alignment vertical="center"/>
    </xf>
    <xf numFmtId="0" fontId="21" fillId="0" borderId="1" xfId="2" applyFont="1" applyBorder="1" applyAlignment="1">
      <alignment horizontal="left" vertical="center"/>
    </xf>
    <xf numFmtId="0" fontId="21" fillId="0" borderId="1" xfId="2" applyFont="1" applyBorder="1" applyAlignment="1"/>
    <xf numFmtId="0" fontId="13" fillId="0" borderId="1" xfId="2" applyBorder="1" applyAlignment="1">
      <alignment horizontal="center" vertical="center"/>
    </xf>
    <xf numFmtId="0" fontId="21" fillId="0" borderId="1" xfId="2" applyFont="1" applyBorder="1" applyAlignment="1">
      <alignment horizontal="center" vertical="center"/>
    </xf>
    <xf numFmtId="14" fontId="13" fillId="0" borderId="0" xfId="2" applyNumberFormat="1">
      <alignment vertical="center"/>
    </xf>
    <xf numFmtId="0" fontId="7" fillId="0" borderId="8" xfId="0" applyFont="1" applyBorder="1" applyAlignment="1">
      <alignment horizontal="center" vertical="center"/>
    </xf>
    <xf numFmtId="0" fontId="7" fillId="0" borderId="9" xfId="0" applyFont="1" applyBorder="1" applyAlignment="1">
      <alignment horizontal="center" vertical="center"/>
    </xf>
    <xf numFmtId="0" fontId="7" fillId="0" borderId="3" xfId="0" applyFont="1" applyBorder="1" applyAlignment="1">
      <alignment horizontal="center" vertical="center"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5" fillId="0" borderId="2" xfId="0" applyFont="1" applyBorder="1" applyAlignment="1">
      <alignment horizontal="left" vertical="top" wrapText="1"/>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4" fillId="0" borderId="3" xfId="0" applyFont="1" applyBorder="1" applyAlignment="1">
      <alignment horizontal="left" vertical="top" wrapText="1"/>
    </xf>
    <xf numFmtId="0" fontId="4" fillId="0" borderId="4" xfId="0" applyFont="1" applyBorder="1" applyAlignment="1">
      <alignment horizontal="left" vertical="top" wrapText="1"/>
    </xf>
    <xf numFmtId="0" fontId="4" fillId="0" borderId="2" xfId="0" applyFont="1" applyBorder="1" applyAlignment="1">
      <alignment horizontal="left" vertical="top" wrapText="1"/>
    </xf>
  </cellXfs>
  <cellStyles count="4">
    <cellStyle name="ハイパーリンク" xfId="1" builtinId="8"/>
    <cellStyle name="桁区切り 2" xfId="3" xr:uid="{DE7C4779-E689-4463-822B-855F43852098}"/>
    <cellStyle name="標準" xfId="0" builtinId="0"/>
    <cellStyle name="標準 2" xfId="2" xr:uid="{BE505079-0DBC-479D-B6F5-3685B03AD975}"/>
  </cellStyles>
  <dxfs count="46">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Meiryo UI"/>
        <family val="3"/>
        <charset val="128"/>
        <scheme val="none"/>
      </font>
      <numFmt numFmtId="178" formatCode="m/d/yyyy"/>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Meiryo UI"/>
        <family val="3"/>
        <charset val="128"/>
        <scheme val="none"/>
      </font>
      <numFmt numFmtId="178" formatCode="m/d/yyyy"/>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numFmt numFmtId="179" formatCode="m&quot;月&quot;d&quot;日&quot;yyyy&quot;年&quo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Meiryo UI"/>
        <family val="3"/>
        <charset val="128"/>
        <scheme val="none"/>
      </font>
      <numFmt numFmtId="178" formatCode="m/d/yyyy"/>
      <fill>
        <patternFill patternType="solid">
          <fgColor theme="9" tint="0.79998168889431442"/>
          <bgColor theme="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Meiryo UI"/>
        <family val="3"/>
        <charset val="128"/>
        <scheme val="none"/>
      </font>
      <numFmt numFmtId="178" formatCode="m/d/yyyy"/>
      <fill>
        <patternFill patternType="solid">
          <fgColor theme="9" tint="0.79998168889431442"/>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Meiryo UI"/>
        <family val="3"/>
        <charset val="128"/>
        <scheme val="none"/>
      </font>
      <numFmt numFmtId="178" formatCode="m/d/yyyy"/>
      <fill>
        <patternFill patternType="solid">
          <fgColor theme="9" tint="0.79998168889431442"/>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alignment horizontal="center"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1" indent="0"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D9D9D9"/>
      <color rgb="FFFFCCFF"/>
      <color rgb="FFFF9999"/>
      <color rgb="FFFFFF99"/>
      <color rgb="FF0000FF"/>
      <color rgb="FF00FFCC"/>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KAJIMA HIROFUMI (梶間 博文)" id="{6C9645F5-328F-4635-836E-F82AC5B4FB84}" userId="S::STJ242381@stanley-electric.com::e4bd1ed7-8d3f-4a52-ab14-484ab6e4aad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7E19D4-7AC8-41E3-942D-FAAE8B239E3B}" name="不具合全テーブル" displayName="不具合全テーブル" ref="A4:AR106" totalsRowShown="0" headerRowDxfId="45" headerRowBorderDxfId="44" tableBorderDxfId="43">
  <tableColumns count="44">
    <tableColumn id="1" xr3:uid="{98565361-F8F1-4E75-A010-F465252B0C2D}" name="補足１" dataDxfId="42"/>
    <tableColumn id="2" xr3:uid="{B8F175FF-331B-4695-BEC3-23D607CA5F81}" name="補足２" dataDxfId="41"/>
    <tableColumn id="3" xr3:uid="{E76A3A91-B735-4720-978B-C5D844DBE836}" name="№" dataDxfId="40" dataCellStyle="ハイパーリンク"/>
    <tableColumn id="4" xr3:uid="{BC2495FA-BCE0-4A46-BCC8-A1F49CE91B5B}" name="拠点" dataDxfId="39"/>
    <tableColumn id="5" xr3:uid="{440A4125-9A89-4AA6-B750-430FBBEE5012}" name="機種" dataDxfId="38"/>
    <tableColumn id="6" xr3:uid="{64857AE7-E0C2-4735-BB14-27BEC1DE354D}" name="車種" dataDxfId="37">
      <calculatedColumnFormula>IFERROR(VLOOKUP(E5,TABLE!$A$27:$B$48,2,FALSE),"")</calculatedColumnFormula>
    </tableColumn>
    <tableColumn id="7" xr3:uid="{3466CA99-6E54-4E74-836D-E020C7F48B4D}" name="機種１" dataDxfId="36"/>
    <tableColumn id="8" xr3:uid="{7674944A-B77A-47D2-A69A-0296B0CAC934}" name="RH/LH" dataDxfId="35"/>
    <tableColumn id="9" xr3:uid="{05C53A67-465F-4033-AA3E-E253B8A7B3D6}" name="仕様" dataDxfId="34"/>
    <tableColumn id="10" xr3:uid="{C6224E2A-1951-4F35-B9BC-17DD4C50D598}" name="発生区" dataDxfId="33"/>
    <tableColumn id="11" xr3:uid="{BA5CAC69-33FE-4BA0-BE87-3C4BEB4820A8}" name="距離(KM)" dataDxfId="32"/>
    <tableColumn id="44" xr3:uid="{24597ECC-C785-4BF9-86ED-3373F9E6A9C1}" name="不良数" dataDxfId="31"/>
    <tableColumn id="12" xr3:uid="{5956202E-37A4-41F0-AE91-8095496D2BFF}" name="発生時備考" dataDxfId="30"/>
    <tableColumn id="13" xr3:uid="{66F6819C-CB94-45FD-94B6-D94CC2A6808A}" name="得意先" dataDxfId="29"/>
    <tableColumn id="14" xr3:uid="{7B93F99A-CFB1-4AA2-A3EF-19EFBAE2A4F5}" name="発生日" dataDxfId="28"/>
    <tableColumn id="15" xr3:uid="{2FC3D69E-96ED-4293-ACBB-B3F1AF3D479A}" name="ﾗﾝﾌﾟ生産日" dataDxfId="27"/>
    <tableColumn id="16" xr3:uid="{C1FEB650-A8B3-4690-9411-51161AE324B2}" name="不具合事象" dataDxfId="26"/>
    <tableColumn id="17" xr3:uid="{73C35E31-0211-4EE1-A6EA-7098877D2413}" name="ST管理№" dataDxfId="25"/>
    <tableColumn id="18" xr3:uid="{13004EA1-7C0A-4485-9D7C-B7F105A80956}" name="STJ品番" dataDxfId="24">
      <calculatedColumnFormula>IFERROR(VLOOKUP(W5,'TB 各拠点LCM搭載機種一覧 (全拠点）'!$C$12:$K$14,8,FALSE),"")</calculatedColumnFormula>
    </tableColumn>
    <tableColumn id="19" xr3:uid="{7EC63BAA-FCC5-41AC-A4A4-D93DB9C7D22F}" name="STJ品名" dataDxfId="23">
      <calculatedColumnFormula>IFERROR(VLOOKUP(W5,'TB 各拠点LCM搭載機種一覧 (全拠点）'!$C$12:$K$14,9,FALSE),"")</calculatedColumnFormula>
    </tableColumn>
    <tableColumn id="20" xr3:uid="{BD908FEE-6194-442E-AE40-CC116180977D}" name="HM品番" dataDxfId="22"/>
    <tableColumn id="21" xr3:uid="{FE592247-5C9D-48CA-AA68-B034E657998C}" name="LCM生産工場" dataDxfId="21"/>
    <tableColumn id="22" xr3:uid="{6B2E95AA-45FD-4C63-BDA3-B36C7FB72699}" name="品番" dataDxfId="20"/>
    <tableColumn id="23" xr3:uid="{34853C8D-60C4-40B3-AB1D-FD6D0021BF6A}" name="シリアル№" dataDxfId="19"/>
    <tableColumn id="24" xr3:uid="{E306A81A-6795-4A66-834D-0EF0192A434A}" name="LCM部番" dataDxfId="18">
      <calculatedColumnFormula>IFERROR(VLOOKUP(W5,'TB 各拠点LCM搭載機種一覧 (全拠点）'!$C$12:$K$14,2,FALSE),"")</calculatedColumnFormula>
    </tableColumn>
    <tableColumn id="25" xr3:uid="{88A2A6E8-17D8-43AB-B1D2-40B9B87A98C4}" name="ME製造" dataDxfId="17">
      <calculatedColumnFormula>IFERROR(VLOOKUP(W5,'TB 各拠点LCM搭載機種一覧 (全拠点）'!$C$12:$K$14,3,FALSE),"")</calculatedColumnFormula>
    </tableColumn>
    <tableColumn id="26" xr3:uid="{85FCEE8D-C10A-4A58-9ACB-B4541E5A8BE7}" name="グレード" dataDxfId="16">
      <calculatedColumnFormula>IFERROR(VLOOKUP(W5,'TB 各拠点LCM搭載機種一覧 (全拠点）'!$C$12:$K$14,4,FALSE),"")</calculatedColumnFormula>
    </tableColumn>
    <tableColumn id="27" xr3:uid="{A87434CB-B668-4E96-A122-A8FCC9337A1A}" name="LCM生産日" dataDxfId="15"/>
    <tableColumn id="28" xr3:uid="{8864C8C1-699E-4A1C-99E1-3B8111C3799C}" name="対策ステータス" dataDxfId="14">
      <calculatedColumnFormula array="1">IFERROR(INDEX(TABLE!$D$5:$D$18,MATCH(1,(TABLE!$A$5:$A$18=D5)*(TABLE!$B$5:$B$18&lt;=AB5)*(TABLE!$C$5:$C$18&gt;=AB5),0)),"対策前")</calculatedColumnFormula>
    </tableColumn>
    <tableColumn id="29" xr3:uid="{94DFA694-558E-4315-901D-2139CE8690C7}" name="MELCO管理№" dataDxfId="13"/>
    <tableColumn id="30" xr3:uid="{A0EEDD2D-2904-49DF-9654-6356674C6567}" name="動作確認結果" dataDxfId="12"/>
    <tableColumn id="31" xr3:uid="{2C812066-9F93-4A45-AE22-BEF57C32B396}" name="外観確認結果" dataDxfId="11"/>
    <tableColumn id="32" xr3:uid="{9DF02CA7-58A4-4C34-B64E-A3D5536594C8}" name="不良選別項目" dataDxfId="10"/>
    <tableColumn id="33" xr3:uid="{459F40BA-F5B3-4E27-9121-27199A66CA23}" name="MCU" dataDxfId="9"/>
    <tableColumn id="34" xr3:uid="{0DDFF48D-3094-4DB2-A4EC-CE89A9E7ACAA}" name="ST-A"/>
    <tableColumn id="35" xr3:uid="{8F4C3C40-A5D9-40B8-A1F9-25485B02132A}" name="ST-B" dataDxfId="8"/>
    <tableColumn id="36" xr3:uid="{EAC866C0-F3FA-4DBB-99DA-A86025A086BC}" name="ST-C" dataDxfId="7"/>
    <tableColumn id="37" xr3:uid="{2F3BB7EF-EC76-48F0-B954-0C7131CDB75F}" name="ST-D" dataDxfId="6"/>
    <tableColumn id="38" xr3:uid="{524430BE-ABC0-4B92-AC3D-75861E442183}" name="ｗａｆｅｒ" dataDxfId="5"/>
    <tableColumn id="39" xr3:uid="{E222DF6A-9388-4E9E-8D18-B8DE244FBE5D}" name="Ａｓｓｅｎｂｌｙ" dataDxfId="4"/>
    <tableColumn id="40" xr3:uid="{4FE3101D-82D5-49A7-BFDB-FB72474F4CED}" name="原因" dataDxfId="3"/>
    <tableColumn id="41" xr3:uid="{5BBE1DB7-0108-4F5C-B8DF-735CEDE11B79}" name="今後の予定" dataDxfId="2"/>
    <tableColumn id="42" xr3:uid="{D08C892B-9ECB-4D42-B82C-561FD1AE51E4}" name="集計データ" dataDxfId="1"/>
    <tableColumn id="43" xr3:uid="{1599694B-236C-44DE-86B2-F9063D566E72}" name="4MOC"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4" dT="2024-07-31T02:11:02.37" personId="{6C9645F5-328F-4635-836E-F82AC5B4FB84}" id="{0F28CC07-6FDA-4F90-8741-A8AF3D615B29}">
    <text>07.31 TABLEより自動算出
データ追加時セル（関数）コピー</text>
  </threadedComment>
  <threadedComment ref="K4" dT="2024-07-31T02:20:36.57" personId="{6C9645F5-328F-4635-836E-F82AC5B4FB84}" id="{3D5C16AF-7ACA-4331-8C7F-449E775D7523}">
    <text xml:space="preserve">07.31 距離換算して入力すること　＊1.6
</text>
  </threadedComment>
  <threadedComment ref="S4" dT="2024-08-08T02:40:35.71" personId="{6C9645F5-328F-4635-836E-F82AC5B4FB84}" id="{5FEEE25F-913C-453F-84FE-7FC3D26CD7A8}">
    <text>08.08 TB各拠点から自動算出</text>
  </threadedComment>
  <threadedComment ref="T4" dT="2024-08-08T02:40:28.90" personId="{6C9645F5-328F-4635-836E-F82AC5B4FB84}" id="{769B090A-68B3-42DE-AEA9-088E32401C1A}">
    <text>08.08 TB各拠点から自動算出</text>
  </threadedComment>
  <threadedComment ref="Y4" dT="2024-08-08T02:32:57.55" personId="{6C9645F5-328F-4635-836E-F82AC5B4FB84}" id="{6D4794CE-BC05-4FAA-AE71-4EA17DF86234}">
    <text>08.08 TB各拠点から自動算出</text>
  </threadedComment>
  <threadedComment ref="Z4" dT="2024-08-08T02:33:19.24" personId="{6C9645F5-328F-4635-836E-F82AC5B4FB84}" id="{9326D27D-8D76-4D98-B37D-55E91F44CACF}">
    <text>08.08 TB各拠点から自動算出</text>
  </threadedComment>
  <threadedComment ref="AA4" dT="2024-08-08T02:33:27.02" personId="{6C9645F5-328F-4635-836E-F82AC5B4FB84}" id="{38CE25AF-148F-4356-AB8C-0094DD01678A}">
    <text>08.08 TB各拠点から自動算出</text>
  </threadedComment>
  <threadedComment ref="AC4" dT="2024-07-30T06:45:22.43" personId="{6C9645F5-328F-4635-836E-F82AC5B4FB84}" id="{D4300654-FDA6-47D3-BE9F-FB7CD9787ACA}">
    <text>07.30 TABLEより自動算出</text>
  </threadedComment>
  <threadedComment ref="AG4" dT="2024-07-19T04:30:49.36" personId="{6C9645F5-328F-4635-836E-F82AC5B4FB84}" id="{4A0886BC-75EB-4B57-B354-AE914FF6CED9}">
    <text>07.19 不良選別項目追記</text>
  </threadedComment>
  <threadedComment ref="AS22" dT="2024-08-06T23:41:24.73" personId="{6C9645F5-328F-4635-836E-F82AC5B4FB84}" id="{94D733D3-C523-435D-BBFA-5EDE8E311122}">
    <text>ワランティ日付（4/12)</text>
  </threadedComment>
</ThreadedComments>
</file>

<file path=xl/worksheets/_rels/sheet2.xml.rels><?xml version="1.0" encoding="UTF-8" standalone="yes"?>
<Relationships xmlns="http://schemas.openxmlformats.org/package/2006/relationships"><Relationship Id="rId13" Type="http://schemas.openxmlformats.org/officeDocument/2006/relationships/hyperlink" Target="../../STJ110418/AppData/Local/Microsoft/028_&#24066;&#22580;&#19981;&#20855;&#21512;(&#23433;&#37096;&#20418;&#38263;)/01_&#33258;&#21205;&#36554;/&#33258;&#35519;_24-00-SUS-_30AA%20HL%20LH%20&#20840;&#19981;&#28783;_%20&#19981;&#26126;" TargetMode="External"/><Relationship Id="rId18" Type="http://schemas.openxmlformats.org/officeDocument/2006/relationships/hyperlink" Target="../../&#32153;&#32154;/&#12381;&#12398;&#20182;/LCM&#19981;&#20855;&#21512;/3A0A/SUS/SUS&#19981;&#20855;&#21512;/&#24037;&#31243;&#20869;&#19981;&#33391;_&#30064;&#24120;&#12394;&#12375;" TargetMode="External"/><Relationship Id="rId26" Type="http://schemas.openxmlformats.org/officeDocument/2006/relationships/hyperlink" Target="../../&#32153;&#32154;/&#12381;&#12398;&#20182;/LCM&#19981;&#20855;&#21512;/3A0A/MELCO_&#23450;&#20363;/20230704" TargetMode="External"/><Relationship Id="rId39" Type="http://schemas.openxmlformats.org/officeDocument/2006/relationships/hyperlink" Target="../../&#32153;&#32154;/&#12381;&#12398;&#20182;/LCM&#19981;&#20855;&#21512;/3A0A/MELCO_&#23450;&#20363;/20230905" TargetMode="External"/><Relationship Id="rId21" Type="http://schemas.openxmlformats.org/officeDocument/2006/relationships/hyperlink" Target="../../STJ110418/AppData/Local/11.&#36092;&#20837;&#37096;&#21697;&#19981;&#20855;&#21512;&#12487;&#12540;&#12479;/&#9313;&#22238;&#21454;&#35443;&#32048;&#12487;&#12540;&#12479;/2023&#24180;/1&#26376;/SUS/&#19977;&#33777;&#38651;&#27671;&#12450;&#12513;&#12522;&#12459;/&#22577;&#21578;&#26360;/RFI_&#24037;&#31243;&#20869;_&#20877;&#29694;&#12379;&#12378;" TargetMode="External"/><Relationship Id="rId34" Type="http://schemas.openxmlformats.org/officeDocument/2006/relationships/hyperlink" Target="../../STJ110418/AppData/Local/11.&#36092;&#20837;&#37096;&#21697;&#19981;&#20855;&#21512;&#12487;&#12540;&#12479;/&#9313;&#22238;&#21454;&#35443;&#32048;&#12487;&#12540;&#12479;/2022&#24180;/12&#26376;/SUS/&#19977;&#33777;&#38651;&#27231;&#12450;&#12513;&#12522;&#12459;/&#22577;&#21578;&#26360;/20231031" TargetMode="External"/><Relationship Id="rId42" Type="http://schemas.openxmlformats.org/officeDocument/2006/relationships/hyperlink" Target="../../STJ110418/AppData/Local/11.&#36092;&#20837;&#37096;&#21697;&#19981;&#20855;&#21512;&#12487;&#12540;&#12479;/&#9313;&#22238;&#21454;&#35443;&#32048;&#12487;&#12540;&#12479;/2022&#24180;/12&#26376;/SUS/&#19977;&#33777;&#38651;&#27231;&#12450;&#12513;&#12522;&#12459;/&#22577;&#21578;&#26360;/20231030" TargetMode="External"/><Relationship Id="rId47" Type="http://schemas.openxmlformats.org/officeDocument/2006/relationships/hyperlink" Target="../../STJ110418/&#21697;&#25913;/3_&#25216;&#26908;&#20108;/03_2D47_&#38651;&#20445;&#35388;&#20418;/01_&#19981;&#20855;&#21512;&#23550;&#24540;/01_&#19977;&#33777;&#38651;&#27231;LCM/03_&#19981;&#20855;&#21512;&#24773;&#22577;/SOMQMP038406" TargetMode="External"/><Relationship Id="rId50" Type="http://schemas.openxmlformats.org/officeDocument/2006/relationships/hyperlink" Target="../../STJ110418/AppData/Local/11.&#36092;&#20837;&#37096;&#21697;&#19981;&#20855;&#21512;&#12487;&#12540;&#12479;/&#9313;&#22238;&#21454;&#35443;&#32048;&#12487;&#12540;&#12479;/2022&#24180;/12&#26376;/SUS/&#19977;&#33777;&#38651;&#27231;&#12450;&#12513;&#12522;&#12459;/&#22577;&#21578;&#26360;/20240416" TargetMode="External"/><Relationship Id="rId55" Type="http://schemas.openxmlformats.org/officeDocument/2006/relationships/hyperlink" Target="../../STJ110418/AppData/Local/Microsoft/027_&#24037;&#31243;&#20869;&#19981;&#33391;(&#24029;&#21475;)/01_&#33258;&#21205;&#36554;/06_SUS/&#33258;&#35519;_25-01-SUS-30A%20HL%20RH%20&#8211;%20Low%20Beam%20Stays%20On%20When%20Turned%20Off_250109" TargetMode="External"/><Relationship Id="rId63" Type="http://schemas.openxmlformats.org/officeDocument/2006/relationships/vmlDrawing" Target="../drawings/vmlDrawing1.vml"/><Relationship Id="rId7" Type="http://schemas.openxmlformats.org/officeDocument/2006/relationships/hyperlink" Target="../../STJ110418/AppData/Local/Microsoft/Windows/INetCache/&#33258;&#35519;_24-11-SUS-30AA%20HL%20LH%20Lo&#19981;&#28783;,LET%20BCAN_DTC_20240505/03_MELMB&#30906;&#35469;&#32080;&#26524;_KLZB1-17370" TargetMode="External"/><Relationship Id="rId2" Type="http://schemas.openxmlformats.org/officeDocument/2006/relationships/hyperlink" Target="../../STJ110418/AppData/Local/Microsoft/Windows/INetCache/&#33258;&#35519;_24-22-SUS-3A0A%20HL%20RH%20&#8211;NO%20LowHigh%20Beam%20LIGHT%20FUNCTION%20_20240731" TargetMode="External"/><Relationship Id="rId16" Type="http://schemas.openxmlformats.org/officeDocument/2006/relationships/hyperlink" Target="../../&#32153;&#32154;/&#12381;&#12398;&#20182;/LCM&#19981;&#20855;&#21512;/3A0A/SUS" TargetMode="External"/><Relationship Id="rId20" Type="http://schemas.openxmlformats.org/officeDocument/2006/relationships/hyperlink" Target="../../STJ110418/AppData/Local/11.&#36092;&#20837;&#37096;&#21697;&#19981;&#20855;&#21512;&#12487;&#12540;&#12479;/&#9313;&#22238;&#21454;&#35443;&#32048;&#12487;&#12540;&#12479;/2023&#24180;/1&#26376;/SUS/&#19977;&#33777;&#38651;&#27671;&#12450;&#12513;&#12522;&#12459;/&#22577;&#21578;&#26360;/RFI_&#24037;&#31243;&#20869;_&#20877;&#29694;&#12379;&#12378;" TargetMode="External"/><Relationship Id="rId29" Type="http://schemas.openxmlformats.org/officeDocument/2006/relationships/hyperlink" Target="../../STJ110418/AppData/Local/11.&#36092;&#20837;&#37096;&#21697;&#19981;&#20855;&#21512;&#12487;&#12540;&#12479;/&#9313;&#22238;&#21454;&#35443;&#32048;&#12487;&#12540;&#12479;/2022&#24180;/12&#26376;/SUS/&#19977;&#33777;&#38651;&#27231;&#12450;&#12513;&#12522;&#12459;/&#22577;&#21578;&#26360;/20230804" TargetMode="External"/><Relationship Id="rId41" Type="http://schemas.openxmlformats.org/officeDocument/2006/relationships/hyperlink" Target="../../STJ110418/AppData/Local/11.&#36092;&#20837;&#37096;&#21697;&#19981;&#20855;&#21512;&#12487;&#12540;&#12479;/&#9313;&#22238;&#21454;&#35443;&#32048;&#12487;&#12540;&#12479;/2022&#24180;/12&#26376;/SUS/&#19977;&#33777;&#38651;&#27231;&#12450;&#12513;&#12522;&#12459;/&#22577;&#21578;&#26360;/20231030" TargetMode="External"/><Relationship Id="rId54" Type="http://schemas.openxmlformats.org/officeDocument/2006/relationships/hyperlink" Target="../../STJ110418/AppData/Local/Microsoft/Windows/INetCache/&#33258;&#35519;_24-25-SUS-3A0%20%20HL%20RH%20All%20lighting%20functions%20INOP%20&#8211;%20%20&#19981;&#28783;%20_20240917" TargetMode="External"/><Relationship Id="rId62" Type="http://schemas.openxmlformats.org/officeDocument/2006/relationships/printerSettings" Target="../printerSettings/printerSettings1.bin"/><Relationship Id="rId1" Type="http://schemas.openxmlformats.org/officeDocument/2006/relationships/hyperlink" Target="../../STJ110418/&#21697;&#25913;/0_&#37096;&#20849;&#36890;/20_&#65400;&#65434;&#65392;&#65425;&#23455;&#32318;&#24773;&#22577;(2024&#24180;)/2)&#20107;&#25925;&#12539;&#37325;&#65400;&#65434;&#65392;&#65425;&#36914;&#25431;&#29366;&#27841;&#30906;&#35469;&#65404;&#65392;&#65412;/1.&#20107;&#25925;&#12539;&#37325;&#12539;&#36605;&#22810;&#25968;&#20491;/2405-06_(&#37325;)SEB%20H60A%20&#19978;&#19979;&#20809;&#36600;&#35519;&#25972;&#19981;&#21487;.xlsx" TargetMode="External"/><Relationship Id="rId6" Type="http://schemas.openxmlformats.org/officeDocument/2006/relationships/hyperlink" Target="../../STJ110418/AppData/Local/Microsoft/Windows/INetCache/&#33258;&#35519;_24-09-SUS-30AA%20HL%20RH%20&#38651;&#28304;&#30064;&#24120;,B276E_20240412/03_MELMB&#30906;&#35469;&#32080;&#26524;_17363" TargetMode="External"/><Relationship Id="rId11" Type="http://schemas.openxmlformats.org/officeDocument/2006/relationships/hyperlink" Target="../../STJ110418/AppData/Local/Microsoft/Windows/INetCache/&#33258;&#35519;_24-17-SUS-30A%20HL%20LH%20&#8211;Low%20Beam%20no%20function_20240615" TargetMode="External"/><Relationship Id="rId24" Type="http://schemas.openxmlformats.org/officeDocument/2006/relationships/hyperlink" Target="../../STJ110418/AppData/Local/11.&#36092;&#20837;&#37096;&#21697;&#19981;&#20855;&#21512;&#12487;&#12540;&#12479;/&#9313;&#22238;&#21454;&#35443;&#32048;&#12487;&#12540;&#12479;/2023&#24180;/1&#26376;/SUS/&#19977;&#33777;&#38651;&#27671;&#12450;&#12513;&#12522;&#12459;/&#22577;&#21578;&#26360;/200230327" TargetMode="External"/><Relationship Id="rId32" Type="http://schemas.openxmlformats.org/officeDocument/2006/relationships/hyperlink" Target="../../STJ110418/AppData/Local/11.&#36092;&#20837;&#37096;&#21697;&#19981;&#20855;&#21512;&#12487;&#12540;&#12479;/&#9313;&#22238;&#21454;&#35443;&#32048;&#12487;&#12540;&#12479;/2022&#24180;/12&#26376;/SUS/&#19977;&#33777;&#38651;&#27231;&#12450;&#12513;&#12522;&#12459;/&#22577;&#21578;&#26360;/20230804" TargetMode="External"/><Relationship Id="rId37" Type="http://schemas.openxmlformats.org/officeDocument/2006/relationships/hyperlink" Target="../../STJ110418/AppData/Local/11.&#36092;&#20837;&#37096;&#21697;&#19981;&#20855;&#21512;&#12487;&#12540;&#12479;/&#9313;&#22238;&#21454;&#35443;&#32048;&#12487;&#12540;&#12479;/2022&#24180;/12&#26376;/SUS/&#19977;&#33777;&#38651;&#27231;&#12450;&#12513;&#12522;&#12459;/&#22577;&#21578;&#26360;/20230920" TargetMode="External"/><Relationship Id="rId40" Type="http://schemas.openxmlformats.org/officeDocument/2006/relationships/hyperlink" Target="../../STJ110418/AppData/Local/11.&#36092;&#20837;&#37096;&#21697;&#19981;&#20855;&#21512;&#12487;&#12540;&#12479;/&#9313;&#22238;&#21454;&#35443;&#32048;&#12487;&#12540;&#12479;/2022&#24180;/12&#26376;/SUS/&#19977;&#33777;&#38651;&#27231;&#12450;&#12513;&#12522;&#12459;/&#22577;&#21578;&#26360;/20240223_SUS&#12408;&#12398;&#22577;&#21578;&#26360;" TargetMode="External"/><Relationship Id="rId45" Type="http://schemas.openxmlformats.org/officeDocument/2006/relationships/hyperlink" Target="../../STJ110418/AppData/Local/11.&#36092;&#20837;&#37096;&#21697;&#19981;&#20855;&#21512;&#12487;&#12540;&#12479;/&#9313;&#22238;&#21454;&#35443;&#32048;&#12487;&#12540;&#12479;/2022&#24180;/12&#26376;/SUS/&#19977;&#33777;&#38651;&#27231;&#12450;&#12513;&#12522;&#12459;/&#22577;&#21578;&#26360;/20231018" TargetMode="External"/><Relationship Id="rId53" Type="http://schemas.openxmlformats.org/officeDocument/2006/relationships/hyperlink" Target="../../STJ110418/AppData/Local/Microsoft/Windows/INetCache/&#33258;&#35519;_24-25-SUS-3A0%20%20HL%20RH%20All%20lighting%20functions%20INOP%20&#8211;%20%20&#19981;&#28783;%20_20240917" TargetMode="External"/><Relationship Id="rId58" Type="http://schemas.openxmlformats.org/officeDocument/2006/relationships/hyperlink" Target="../../STJ110418/AppData/Local/Microsoft/Windows/INetCache/&#33258;&#35519;_25-02-SUS-30A%20HL%20LH%20&#8211;%20INOP%20DRL%20&amp;%20FRONT%20TURN_20250516" TargetMode="External"/><Relationship Id="rId66" Type="http://schemas.microsoft.com/office/2017/10/relationships/threadedComment" Target="../threadedComments/threadedComment1.xml"/><Relationship Id="rId5" Type="http://schemas.openxmlformats.org/officeDocument/2006/relationships/hyperlink" Target="../../STJ110418/AppData/Local/Microsoft/Windows/INetCache/&#33258;&#35519;_24-08-SUS-30AA%20HL%20LH%20&#20840;&#19981;&#28783;_20240425/03_MELMB&#30906;&#35469;&#32080;&#26524;_KLZB1-17354" TargetMode="External"/><Relationship Id="rId15" Type="http://schemas.openxmlformats.org/officeDocument/2006/relationships/hyperlink" Target="../../&#32153;&#32154;/&#12381;&#12398;&#20182;/LCM&#19981;&#20855;&#21512;/3A0A/MELCO_&#23450;&#20363;/20230206" TargetMode="External"/><Relationship Id="rId23" Type="http://schemas.openxmlformats.org/officeDocument/2006/relationships/hyperlink" Target="../../&#32153;&#32154;/&#12381;&#12398;&#20182;/LCM&#19981;&#20855;&#21512;/3A0A/MELCO_&#23450;&#20363;/20230704" TargetMode="External"/><Relationship Id="rId28" Type="http://schemas.openxmlformats.org/officeDocument/2006/relationships/hyperlink" Target="../../STJ110418/AppData/Local/11.&#36092;&#20837;&#37096;&#21697;&#19981;&#20855;&#21512;&#12487;&#12540;&#12479;/&#9313;&#22238;&#21454;&#35443;&#32048;&#12487;&#12540;&#12479;/2022&#24180;/12&#26376;/SUS/&#19977;&#33777;&#38651;&#27231;&#12450;&#12513;&#12522;&#12459;/&#22577;&#21578;&#26360;/20230516" TargetMode="External"/><Relationship Id="rId36" Type="http://schemas.openxmlformats.org/officeDocument/2006/relationships/hyperlink" Target="../../STJ110418/AppData/Local/11.&#36092;&#20837;&#37096;&#21697;&#19981;&#20855;&#21512;&#12487;&#12540;&#12479;/&#9313;&#22238;&#21454;&#35443;&#32048;&#12487;&#12540;&#12479;/2022&#24180;/12&#26376;/SUS/&#19977;&#33777;&#38651;&#27231;&#12450;&#12513;&#12522;&#12459;/&#22577;&#21578;&#26360;/20230920" TargetMode="External"/><Relationship Id="rId49" Type="http://schemas.openxmlformats.org/officeDocument/2006/relationships/hyperlink" Target="../../STJ110418/AppData/Local/11.&#36092;&#20837;&#37096;&#21697;&#19981;&#20855;&#21512;&#12487;&#12540;&#12479;/&#9313;&#22238;&#21454;&#35443;&#32048;&#12487;&#12540;&#12479;/2022&#24180;/12&#26376;/SUS/&#19977;&#33777;&#38651;&#27231;&#12450;&#12513;&#12522;&#12459;/&#22577;&#21578;&#26360;/20240404" TargetMode="External"/><Relationship Id="rId57" Type="http://schemas.openxmlformats.org/officeDocument/2006/relationships/hyperlink" Target="../../STJ110418/AppData/Local/Microsoft/Windows/INetCache/&#33258;&#35519;_25-03-SUS-3A0%20HL%20RH%20-HL%20INOP_%2020250520" TargetMode="External"/><Relationship Id="rId61" Type="http://schemas.openxmlformats.org/officeDocument/2006/relationships/hyperlink" Target="../../STJ110418/AppData/Local/Microsoft/Windows/INetCache/&#33258;&#35519;_25-06-SUS-3A0%20HL%20RH%20-HL%20INOP_%2020230620" TargetMode="External"/><Relationship Id="rId10" Type="http://schemas.openxmlformats.org/officeDocument/2006/relationships/hyperlink" Target="../../STJ110418/AppData/Local/Microsoft/Windows/INetCache/&#33258;&#35519;_24-16-SUS-3A0%20HL%20LH%20&#8211;NO%20LIGHT%20FUNCTIONTurn_20240626" TargetMode="External"/><Relationship Id="rId19" Type="http://schemas.openxmlformats.org/officeDocument/2006/relationships/hyperlink" Target="../../&#32153;&#32154;/&#12381;&#12398;&#20182;/LCM&#19981;&#20855;&#21512;/3A0A/SUS/SUS&#19981;&#20855;&#21512;/MELCO&#22238;&#31572;" TargetMode="External"/><Relationship Id="rId31" Type="http://schemas.openxmlformats.org/officeDocument/2006/relationships/hyperlink" Target="../../STJ110418/AppData/Local/11.&#36092;&#20837;&#37096;&#21697;&#19981;&#20855;&#21512;&#12487;&#12540;&#12479;/&#9313;&#22238;&#21454;&#35443;&#32048;&#12487;&#12540;&#12479;/2022&#24180;/12&#26376;/SUS/&#19977;&#33777;&#38651;&#27231;&#12450;&#12513;&#12522;&#12459;/&#22577;&#21578;&#26360;/20230804" TargetMode="External"/><Relationship Id="rId44" Type="http://schemas.openxmlformats.org/officeDocument/2006/relationships/hyperlink" Target="../../STJ110418/AppData/Local/11.&#36092;&#20837;&#37096;&#21697;&#19981;&#20855;&#21512;&#12487;&#12540;&#12479;/&#9313;&#22238;&#21454;&#35443;&#32048;&#12487;&#12540;&#12479;/2022&#24180;/12&#26376;/SUS/&#19977;&#33777;&#38651;&#27231;&#12450;&#12513;&#12522;&#12459;/&#22577;&#21578;&#26360;/20231018" TargetMode="External"/><Relationship Id="rId52" Type="http://schemas.openxmlformats.org/officeDocument/2006/relationships/hyperlink" Target="../../STJ110418/AppData/Local/Microsoft/Windows/INetCache/&#33258;&#35519;_24-24-SUS-3A0%20%20HL%20%20&#8211;%20%20&#19981;&#28783;%20_20240809" TargetMode="External"/><Relationship Id="rId60" Type="http://schemas.openxmlformats.org/officeDocument/2006/relationships/hyperlink" Target="../../STJ110418/AppData/Local/Microsoft/Windows/INetCache/&#33258;&#35519;_25-05-SUS-3A0%20HL%20LH%20-HL%20INOP_%2020240707" TargetMode="External"/><Relationship Id="rId65" Type="http://schemas.openxmlformats.org/officeDocument/2006/relationships/comments" Target="../comments1.xml"/><Relationship Id="rId4" Type="http://schemas.openxmlformats.org/officeDocument/2006/relationships/hyperlink" Target="../../STJ110418/AppData/Local/Microsoft/Windows/INetCache/&#33258;&#35519;_24-05-SUS-3A0A%20HL%20LH%20&#20840;&#19981;&#28783;_20240410/03_MELMB&#30906;&#35469;&#32080;&#26524;_KLZB1-17345" TargetMode="External"/><Relationship Id="rId9" Type="http://schemas.openxmlformats.org/officeDocument/2006/relationships/hyperlink" Target="../../STJ110418/AppData/Local/Microsoft/Windows/INetCache/&#33258;&#35519;_24-15-SUS-3A0%20HL%20LH%20&#8211;%20Turn%20Signal%20INOP_20240517" TargetMode="External"/><Relationship Id="rId14" Type="http://schemas.openxmlformats.org/officeDocument/2006/relationships/hyperlink" Target="../../2022/&#21697;&#20445;&#37096;/2D40_&#33258;&#20445;&#35388;/99_&#20491;&#20154;&#12501;&#12457;&#12523;&#12480;/&#19990;&#21476;/&#19981;&#20855;&#21512;&#19968;&#26178;&#12501;&#12449;&#12452;&#12523;/LCM,LDM&#19981;&#20855;&#21512;&#32202;&#24613;&#23550;&#31574;&#65409;&#65392;&#65425;/3A0A_LCM&#36215;&#22240;&#12398;&#19981;&#28783;/221120/&#19977;&#33777;&#36039;&#26009;" TargetMode="External"/><Relationship Id="rId22" Type="http://schemas.openxmlformats.org/officeDocument/2006/relationships/hyperlink" Target="../../STJ110418/AppData/Local/11.&#36092;&#20837;&#37096;&#21697;&#19981;&#20855;&#21512;&#12487;&#12540;&#12479;/&#9313;&#22238;&#21454;&#35443;&#32048;&#12487;&#12540;&#12479;/2023&#24180;/2&#26376;/SUS/&#19977;&#33777;&#38651;&#27231;&#22577;&#21578;&#26360;" TargetMode="External"/><Relationship Id="rId27" Type="http://schemas.openxmlformats.org/officeDocument/2006/relationships/hyperlink" Target="../../STJ110418/AppData/Local/11.&#36092;&#20837;&#37096;&#21697;&#19981;&#20855;&#21512;&#12487;&#12540;&#12479;/&#9313;&#22238;&#21454;&#35443;&#32048;&#12487;&#12540;&#12479;/2022&#24180;/12&#26376;/SUS/&#19977;&#33777;&#38651;&#27231;&#12450;&#12513;&#12522;&#12459;/&#22577;&#21578;&#26360;/20230804" TargetMode="External"/><Relationship Id="rId30" Type="http://schemas.openxmlformats.org/officeDocument/2006/relationships/hyperlink" Target="../../STJ110418/AppData/Local/11.&#36092;&#20837;&#37096;&#21697;&#19981;&#20855;&#21512;&#12487;&#12540;&#12479;/&#9313;&#22238;&#21454;&#35443;&#32048;&#12487;&#12540;&#12479;/2022&#24180;/12&#26376;/SUS/&#19977;&#33777;&#38651;&#27231;&#12450;&#12513;&#12522;&#12459;/&#22577;&#21578;&#26360;/20230804" TargetMode="External"/><Relationship Id="rId35" Type="http://schemas.openxmlformats.org/officeDocument/2006/relationships/hyperlink" Target="../../STJ110418/AppData/Local/11.&#36092;&#20837;&#37096;&#21697;&#19981;&#20855;&#21512;&#12487;&#12540;&#12479;/&#9313;&#22238;&#21454;&#35443;&#32048;&#12487;&#12540;&#12479;/2022&#24180;/12&#26376;/SUS/&#19977;&#33777;&#38651;&#27231;&#12450;&#12513;&#12522;&#12459;/&#22577;&#21578;&#26360;/20231031" TargetMode="External"/><Relationship Id="rId43" Type="http://schemas.openxmlformats.org/officeDocument/2006/relationships/hyperlink" Target="../../STJ110418/AppData/Local/11.&#36092;&#20837;&#37096;&#21697;&#19981;&#20855;&#21512;&#12487;&#12540;&#12479;/&#9313;&#22238;&#21454;&#35443;&#32048;&#12487;&#12540;&#12479;/2022&#24180;/12&#26376;/SUS/&#19977;&#33777;&#38651;&#27231;&#12450;&#12513;&#12522;&#12459;/&#22577;&#21578;&#26360;/20231030" TargetMode="External"/><Relationship Id="rId48" Type="http://schemas.openxmlformats.org/officeDocument/2006/relationships/hyperlink" Target="../../STJ110418/&#21697;&#25913;/3_&#25216;&#26908;&#20108;/03_2D47_&#38651;&#20445;&#35388;&#20418;/01_&#19981;&#20855;&#21512;&#23550;&#24540;/01_&#19977;&#33777;&#38651;&#27231;LCM/03_&#19981;&#20855;&#21512;&#24773;&#22577;/SOMQMP048395" TargetMode="External"/><Relationship Id="rId56" Type="http://schemas.openxmlformats.org/officeDocument/2006/relationships/hyperlink" Target="../../STJ110418/AppData/Local/Microsoft/Windows/INetCache/&#33258;&#35519;_25-01-SUS-3A0%20%20HL%20RH%203A0%20HL%20LoHi%20&#19981;&#28783;%20_20250411" TargetMode="External"/><Relationship Id="rId64" Type="http://schemas.openxmlformats.org/officeDocument/2006/relationships/table" Target="../tables/table1.xml"/><Relationship Id="rId8" Type="http://schemas.openxmlformats.org/officeDocument/2006/relationships/hyperlink" Target="../../STJ110418/AppData/Local/Microsoft/Windows/INetCache/&#33258;&#35519;_24-14-SUS-3A0%20HL%20RH%20&#8211;HL%20INOP_20240514/03_MELMB&#30906;&#35469;&#32080;&#26524;" TargetMode="External"/><Relationship Id="rId51" Type="http://schemas.openxmlformats.org/officeDocument/2006/relationships/hyperlink" Target="../../STJ110418/&#21697;&#25913;/3_&#25216;&#26908;&#20108;/03_2D47_&#38651;&#20445;&#35388;&#20418;/01_&#19981;&#20855;&#21512;&#23550;&#24540;/01_&#19977;&#33777;&#38651;&#27231;LCM/02_&#12513;&#12523;&#12467;&#22577;&#21578;&#26360;" TargetMode="External"/><Relationship Id="rId3" Type="http://schemas.openxmlformats.org/officeDocument/2006/relationships/hyperlink" Target="../../STJ110418/AppData/Local/Microsoft/Windows/INetCache/&#33258;&#35519;_24-04-SUS-30AA%20HL%20LH%20DRL,FT,SM&#27231;&#33021;&#12375;&#12394;&#12356;_20240402/03_MELMB&#30906;&#35469;&#32080;&#26524;_KLZB1-17315" TargetMode="External"/><Relationship Id="rId12" Type="http://schemas.openxmlformats.org/officeDocument/2006/relationships/hyperlink" Target="../../STJ110418/AppData/Local/Microsoft/Windows/INetCache/&#33258;&#35519;_24-18-SUS-30A%20HL%20RH%20&#8211;Low%20Beam%20no%20function_20240612" TargetMode="External"/><Relationship Id="rId17" Type="http://schemas.openxmlformats.org/officeDocument/2006/relationships/hyperlink" Target="../../&#32153;&#32154;/&#12381;&#12398;&#20182;/LCM&#19981;&#20855;&#21512;/3A0A/SUS/SUS&#19981;&#20855;&#21512;/&#24037;&#31243;&#20869;&#19981;&#33391;_20230206_&#26410;&#22577;&#21578;_&#29694;&#21697;&#21463;&#29702;" TargetMode="External"/><Relationship Id="rId25" Type="http://schemas.openxmlformats.org/officeDocument/2006/relationships/hyperlink" Target="../../&#32153;&#32154;/&#12381;&#12398;&#20182;/LCM&#19981;&#20855;&#21512;/3A0A/MELCO_&#23450;&#20363;/20230704" TargetMode="External"/><Relationship Id="rId33" Type="http://schemas.openxmlformats.org/officeDocument/2006/relationships/hyperlink" Target="../../STJ110418/AppData/Local/11.&#36092;&#20837;&#37096;&#21697;&#19981;&#20855;&#21512;&#12487;&#12540;&#12479;/&#9313;&#22238;&#21454;&#35443;&#32048;&#12487;&#12540;&#12479;/2022&#24180;/12&#26376;/SUS/&#19977;&#33777;&#38651;&#27231;&#12450;&#12513;&#12522;&#12459;/&#22577;&#21578;&#26360;/20230804" TargetMode="External"/><Relationship Id="rId38" Type="http://schemas.openxmlformats.org/officeDocument/2006/relationships/hyperlink" Target="../../STJ110418/AppData/Local/11.&#36092;&#20837;&#37096;&#21697;&#19981;&#20855;&#21512;&#12487;&#12540;&#12479;/&#9313;&#22238;&#21454;&#35443;&#32048;&#12487;&#12540;&#12479;/2022&#24180;/12&#26376;/SUS/&#19977;&#33777;&#38651;&#27231;&#12450;&#12513;&#12522;&#12459;/&#22577;&#21578;&#26360;/20230920" TargetMode="External"/><Relationship Id="rId46" Type="http://schemas.openxmlformats.org/officeDocument/2006/relationships/hyperlink" Target="../../STJ110418/AppData/Local/11.&#36092;&#20837;&#37096;&#21697;&#19981;&#20855;&#21512;&#12487;&#12540;&#12479;/&#9313;&#22238;&#21454;&#35443;&#32048;&#12487;&#12540;&#12479;/2022&#24180;/12&#26376;/SUS/&#19977;&#33777;&#38651;&#27231;&#12450;&#12513;&#12522;&#12459;/&#22577;&#21578;&#26360;/20231018" TargetMode="External"/><Relationship Id="rId59" Type="http://schemas.openxmlformats.org/officeDocument/2006/relationships/hyperlink" Target="../../STJ110418/AppData/Local/Microsoft/Windows/INetCache/&#33258;&#35519;_25-04-SUS-3A0%20HL%20LH%20-HL%20INOP_%2020250611"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EB0C2-5B86-473F-AB5A-60B26C5B7298}">
  <sheetPr codeName="Sheet1"/>
  <dimension ref="B2:E13"/>
  <sheetViews>
    <sheetView workbookViewId="0"/>
  </sheetViews>
  <sheetFormatPr defaultRowHeight="18" x14ac:dyDescent="0.55000000000000004"/>
  <cols>
    <col min="2" max="2" width="8.58203125" bestFit="1" customWidth="1"/>
    <col min="3" max="3" width="12.5" style="53" bestFit="1" customWidth="1"/>
    <col min="4" max="4" width="58.58203125" bestFit="1" customWidth="1"/>
  </cols>
  <sheetData>
    <row r="2" spans="2:5" ht="31.5" customHeight="1" x14ac:dyDescent="0.55000000000000004">
      <c r="B2" s="189" t="s">
        <v>795</v>
      </c>
      <c r="C2" s="206" t="s">
        <v>793</v>
      </c>
      <c r="D2" s="189" t="s">
        <v>794</v>
      </c>
      <c r="E2" s="189" t="s">
        <v>806</v>
      </c>
    </row>
    <row r="3" spans="2:5" x14ac:dyDescent="0.55000000000000004">
      <c r="B3" s="189">
        <v>1</v>
      </c>
      <c r="C3" s="206">
        <v>45492</v>
      </c>
      <c r="D3" s="189" t="s">
        <v>803</v>
      </c>
      <c r="E3" s="189" t="s">
        <v>807</v>
      </c>
    </row>
    <row r="4" spans="2:5" x14ac:dyDescent="0.55000000000000004">
      <c r="B4" s="189">
        <v>2</v>
      </c>
      <c r="C4" s="206">
        <v>45496</v>
      </c>
      <c r="D4" s="189" t="s">
        <v>804</v>
      </c>
      <c r="E4" s="189" t="s">
        <v>807</v>
      </c>
    </row>
    <row r="5" spans="2:5" x14ac:dyDescent="0.55000000000000004">
      <c r="B5" s="189">
        <v>3</v>
      </c>
      <c r="C5" s="206">
        <v>45503</v>
      </c>
      <c r="D5" s="189" t="s">
        <v>796</v>
      </c>
      <c r="E5" s="189" t="s">
        <v>807</v>
      </c>
    </row>
    <row r="6" spans="2:5" x14ac:dyDescent="0.55000000000000004">
      <c r="B6" s="189">
        <v>4</v>
      </c>
      <c r="C6" s="206">
        <v>45504</v>
      </c>
      <c r="D6" s="175" t="s">
        <v>797</v>
      </c>
      <c r="E6" s="189" t="s">
        <v>807</v>
      </c>
    </row>
    <row r="7" spans="2:5" x14ac:dyDescent="0.55000000000000004">
      <c r="B7" s="189">
        <v>5</v>
      </c>
      <c r="C7" s="206">
        <v>45504</v>
      </c>
      <c r="D7" s="175" t="s">
        <v>808</v>
      </c>
      <c r="E7" s="189" t="s">
        <v>807</v>
      </c>
    </row>
    <row r="8" spans="2:5" x14ac:dyDescent="0.55000000000000004">
      <c r="B8" s="189">
        <v>6</v>
      </c>
      <c r="C8" s="206">
        <v>45512</v>
      </c>
      <c r="D8" s="175" t="s">
        <v>801</v>
      </c>
      <c r="E8" s="189" t="s">
        <v>807</v>
      </c>
    </row>
    <row r="9" spans="2:5" x14ac:dyDescent="0.55000000000000004">
      <c r="B9" s="189">
        <v>7</v>
      </c>
      <c r="C9" s="206">
        <v>45512</v>
      </c>
      <c r="D9" s="175" t="s">
        <v>802</v>
      </c>
      <c r="E9" s="189" t="s">
        <v>807</v>
      </c>
    </row>
    <row r="10" spans="2:5" x14ac:dyDescent="0.55000000000000004">
      <c r="B10" s="189">
        <v>8</v>
      </c>
      <c r="C10" s="206">
        <v>45512</v>
      </c>
      <c r="D10" s="175" t="s">
        <v>805</v>
      </c>
      <c r="E10" s="189" t="s">
        <v>807</v>
      </c>
    </row>
    <row r="11" spans="2:5" x14ac:dyDescent="0.55000000000000004">
      <c r="B11" s="189">
        <v>9</v>
      </c>
      <c r="C11" s="190">
        <v>45616</v>
      </c>
      <c r="D11" s="175" t="s">
        <v>891</v>
      </c>
      <c r="E11" s="189" t="s">
        <v>807</v>
      </c>
    </row>
    <row r="12" spans="2:5" x14ac:dyDescent="0.55000000000000004">
      <c r="B12" s="189">
        <v>11</v>
      </c>
      <c r="C12" s="190">
        <v>45721</v>
      </c>
      <c r="D12" s="175" t="s">
        <v>932</v>
      </c>
      <c r="E12" s="189" t="s">
        <v>807</v>
      </c>
    </row>
    <row r="13" spans="2:5" x14ac:dyDescent="0.55000000000000004">
      <c r="B13" s="189">
        <v>12</v>
      </c>
      <c r="C13" s="190">
        <v>45740</v>
      </c>
      <c r="D13" s="175" t="s">
        <v>933</v>
      </c>
      <c r="E13" s="189" t="s">
        <v>807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C5757-941B-47F5-9284-6814C164970E}">
  <sheetPr codeName="Sheet2">
    <pageSetUpPr fitToPage="1"/>
  </sheetPr>
  <dimension ref="A1:BC151"/>
  <sheetViews>
    <sheetView topLeftCell="A4" zoomScale="80" zoomScaleNormal="80" workbookViewId="0">
      <selection activeCell="A4" sqref="A4"/>
    </sheetView>
  </sheetViews>
  <sheetFormatPr defaultColWidth="9" defaultRowHeight="15" x14ac:dyDescent="0.55000000000000004"/>
  <cols>
    <col min="1" max="1" width="12" style="26" customWidth="1"/>
    <col min="2" max="2" width="8.08203125" style="26" customWidth="1"/>
    <col min="3" max="3" width="6" style="26" customWidth="1"/>
    <col min="4" max="4" width="9" style="26"/>
    <col min="5" max="5" width="7.58203125" style="26" customWidth="1"/>
    <col min="6" max="6" width="9" style="26"/>
    <col min="7" max="7" width="8.08203125" style="26" customWidth="1"/>
    <col min="8" max="8" width="9.33203125" style="26" customWidth="1"/>
    <col min="9" max="9" width="7.5" style="26" customWidth="1"/>
    <col min="10" max="10" width="8.08203125" style="26" customWidth="1"/>
    <col min="11" max="13" width="18.58203125" style="26" customWidth="1"/>
    <col min="14" max="14" width="9.08203125" style="26" customWidth="1"/>
    <col min="15" max="15" width="17.33203125" style="26" customWidth="1"/>
    <col min="16" max="16" width="16.58203125" style="26" customWidth="1"/>
    <col min="17" max="17" width="48.58203125" style="26" customWidth="1"/>
    <col min="18" max="20" width="28.33203125" style="26" customWidth="1"/>
    <col min="21" max="21" width="20.08203125" style="26" customWidth="1"/>
    <col min="22" max="23" width="16.08203125" style="26" customWidth="1"/>
    <col min="24" max="27" width="20.83203125" style="26" customWidth="1"/>
    <col min="28" max="28" width="16.08203125" style="225" customWidth="1"/>
    <col min="29" max="30" width="16.08203125" style="26" customWidth="1"/>
    <col min="31" max="31" width="26.08203125" style="26" customWidth="1"/>
    <col min="32" max="32" width="23.33203125" style="26" customWidth="1"/>
    <col min="33" max="33" width="34.08203125" style="26" customWidth="1"/>
    <col min="34" max="34" width="15.5" style="26" customWidth="1"/>
    <col min="35" max="38" width="23.33203125" style="26" customWidth="1"/>
    <col min="39" max="39" width="12.5" style="26" customWidth="1"/>
    <col min="40" max="40" width="17.33203125" style="26" customWidth="1"/>
    <col min="41" max="41" width="63.58203125" style="26" customWidth="1"/>
    <col min="42" max="42" width="50.58203125" style="26" customWidth="1"/>
    <col min="43" max="43" width="14" style="26" bestFit="1" customWidth="1"/>
    <col min="44" max="44" width="48.58203125" style="26" customWidth="1"/>
    <col min="45" max="45" width="9" style="26"/>
    <col min="46" max="46" width="1.83203125" style="26" customWidth="1"/>
    <col min="47" max="55" width="9" style="18"/>
    <col min="56" max="16384" width="9" style="26"/>
  </cols>
  <sheetData>
    <row r="1" spans="1:55" ht="18" x14ac:dyDescent="0.55000000000000004">
      <c r="X1"/>
      <c r="Y1"/>
      <c r="Z1"/>
      <c r="AA1"/>
      <c r="AB1" s="191"/>
      <c r="AC1"/>
      <c r="AD1"/>
      <c r="AE1"/>
      <c r="AF1"/>
      <c r="AH1"/>
      <c r="AS1" s="38" t="s">
        <v>992</v>
      </c>
    </row>
    <row r="2" spans="1:55" ht="24" customHeight="1" x14ac:dyDescent="0.55000000000000004">
      <c r="C2" s="39" t="s">
        <v>143</v>
      </c>
      <c r="K2"/>
      <c r="L2"/>
      <c r="M2"/>
      <c r="N2"/>
      <c r="O2" s="187"/>
      <c r="X2"/>
      <c r="Y2"/>
      <c r="Z2"/>
      <c r="AB2" s="191"/>
      <c r="AC2"/>
      <c r="AD2"/>
      <c r="AE2"/>
      <c r="AF2"/>
      <c r="AH2"/>
      <c r="AS2" s="38" t="s">
        <v>20</v>
      </c>
    </row>
    <row r="3" spans="1:55" ht="26.25" customHeight="1" x14ac:dyDescent="0.55000000000000004">
      <c r="X3"/>
      <c r="Y3"/>
      <c r="Z3"/>
      <c r="AA3"/>
      <c r="AB3" s="191"/>
      <c r="AC3"/>
      <c r="AD3"/>
      <c r="AE3"/>
      <c r="AF3"/>
      <c r="AH3"/>
      <c r="AI3" s="245" t="s">
        <v>112</v>
      </c>
      <c r="AJ3" s="246"/>
      <c r="AK3" s="245" t="s">
        <v>115</v>
      </c>
      <c r="AL3" s="246"/>
      <c r="AM3" s="247" t="s">
        <v>121</v>
      </c>
      <c r="AN3" s="247"/>
      <c r="AS3" s="38" t="s">
        <v>144</v>
      </c>
      <c r="AU3" s="179" t="s">
        <v>845</v>
      </c>
      <c r="AV3" s="179"/>
      <c r="AW3" s="179"/>
      <c r="AX3" s="179" t="s">
        <v>846</v>
      </c>
      <c r="AY3" s="179"/>
      <c r="AZ3" s="179"/>
      <c r="BA3" s="179" t="s">
        <v>847</v>
      </c>
      <c r="BB3" s="179"/>
      <c r="BC3" s="179"/>
    </row>
    <row r="4" spans="1:55" ht="35.25" customHeight="1" x14ac:dyDescent="0.55000000000000004">
      <c r="A4" s="201" t="s">
        <v>927</v>
      </c>
      <c r="B4" s="197" t="s">
        <v>928</v>
      </c>
      <c r="C4" s="197" t="s">
        <v>64</v>
      </c>
      <c r="D4" s="197" t="s">
        <v>0</v>
      </c>
      <c r="E4" s="197" t="s">
        <v>141</v>
      </c>
      <c r="F4" s="197" t="s">
        <v>1</v>
      </c>
      <c r="G4" s="197" t="s">
        <v>142</v>
      </c>
      <c r="H4" s="197" t="s">
        <v>18</v>
      </c>
      <c r="I4" s="197" t="s">
        <v>76</v>
      </c>
      <c r="J4" s="197" t="s">
        <v>938</v>
      </c>
      <c r="K4" s="202" t="s">
        <v>592</v>
      </c>
      <c r="L4" s="202" t="s">
        <v>931</v>
      </c>
      <c r="M4" s="202" t="s">
        <v>77</v>
      </c>
      <c r="N4" s="197" t="s">
        <v>120</v>
      </c>
      <c r="O4" s="197" t="s">
        <v>3</v>
      </c>
      <c r="P4" s="197" t="s">
        <v>25</v>
      </c>
      <c r="Q4" s="197" t="s">
        <v>4</v>
      </c>
      <c r="R4" s="197" t="s">
        <v>119</v>
      </c>
      <c r="S4" s="203" t="s">
        <v>660</v>
      </c>
      <c r="T4" s="203" t="s">
        <v>661</v>
      </c>
      <c r="U4" s="197" t="s">
        <v>124</v>
      </c>
      <c r="V4" s="197" t="s">
        <v>17</v>
      </c>
      <c r="W4" s="197" t="s">
        <v>7</v>
      </c>
      <c r="X4" s="197" t="s">
        <v>27</v>
      </c>
      <c r="Y4" s="203" t="s">
        <v>800</v>
      </c>
      <c r="Z4" s="203" t="s">
        <v>655</v>
      </c>
      <c r="AA4" s="203" t="s">
        <v>799</v>
      </c>
      <c r="AB4" s="204" t="s">
        <v>26</v>
      </c>
      <c r="AC4" s="197" t="s">
        <v>135</v>
      </c>
      <c r="AD4" s="197" t="s">
        <v>118</v>
      </c>
      <c r="AE4" s="197" t="s">
        <v>11</v>
      </c>
      <c r="AF4" s="197" t="s">
        <v>12</v>
      </c>
      <c r="AG4" s="197" t="s">
        <v>159</v>
      </c>
      <c r="AH4" s="197" t="s">
        <v>111</v>
      </c>
      <c r="AI4" s="197" t="s">
        <v>113</v>
      </c>
      <c r="AJ4" s="197" t="s">
        <v>114</v>
      </c>
      <c r="AK4" s="197" t="s">
        <v>116</v>
      </c>
      <c r="AL4" s="197" t="s">
        <v>117</v>
      </c>
      <c r="AM4" s="197" t="s">
        <v>122</v>
      </c>
      <c r="AN4" s="197" t="s">
        <v>123</v>
      </c>
      <c r="AO4" s="197" t="s">
        <v>13</v>
      </c>
      <c r="AP4" s="197" t="s">
        <v>14</v>
      </c>
      <c r="AQ4" s="197" t="s">
        <v>926</v>
      </c>
      <c r="AR4" s="205" t="s">
        <v>925</v>
      </c>
      <c r="AS4" s="19" t="s">
        <v>169</v>
      </c>
      <c r="AU4" s="180" t="s">
        <v>848</v>
      </c>
      <c r="AV4" s="181" t="s">
        <v>849</v>
      </c>
      <c r="AW4" s="182" t="s">
        <v>850</v>
      </c>
      <c r="AX4" s="183" t="s">
        <v>851</v>
      </c>
      <c r="AY4" s="184" t="s">
        <v>852</v>
      </c>
      <c r="AZ4" s="185" t="s">
        <v>853</v>
      </c>
      <c r="BA4" s="183"/>
      <c r="BB4" s="184"/>
      <c r="BC4" s="185"/>
    </row>
    <row r="5" spans="1:55" ht="78.650000000000006" customHeight="1" x14ac:dyDescent="0.55000000000000004">
      <c r="A5" s="198" t="s">
        <v>173</v>
      </c>
      <c r="B5" s="19" t="s">
        <v>170</v>
      </c>
      <c r="C5" s="177">
        <v>1</v>
      </c>
      <c r="D5" s="19" t="s">
        <v>136</v>
      </c>
      <c r="E5" s="19" t="s">
        <v>174</v>
      </c>
      <c r="F5" s="19" t="str">
        <f>IFERROR(VLOOKUP(E5,TABLE!$A$27:$B$48,2,FALSE),"")</f>
        <v>CR-V</v>
      </c>
      <c r="G5" s="19" t="s">
        <v>175</v>
      </c>
      <c r="H5" s="19" t="s">
        <v>139</v>
      </c>
      <c r="I5" s="19" t="s">
        <v>176</v>
      </c>
      <c r="J5" s="19" t="s">
        <v>177</v>
      </c>
      <c r="K5" s="20"/>
      <c r="L5" s="20">
        <v>1</v>
      </c>
      <c r="M5" s="20" t="s">
        <v>892</v>
      </c>
      <c r="N5" s="20" t="s">
        <v>178</v>
      </c>
      <c r="O5" s="194">
        <v>44903</v>
      </c>
      <c r="P5" s="194">
        <v>44894</v>
      </c>
      <c r="Q5" s="19" t="s">
        <v>179</v>
      </c>
      <c r="R5" s="20" t="s">
        <v>180</v>
      </c>
      <c r="S5" s="20">
        <f>IFERROR(VLOOKUP(W5,'TB 各拠点LCM搭載機種一覧 (全拠点）'!$C$12:$K$14,8,FALSE),"")</f>
        <v>1480820503</v>
      </c>
      <c r="T5" s="20" t="str">
        <f>IFERROR(VLOOKUP(W5,'TB 各拠点LCM搭載機種一覧 (全拠点）'!$C$12:$K$14,9,FALSE),"")</f>
        <v>W6250M/LIGHT CNTRL</v>
      </c>
      <c r="U5" s="20" t="s">
        <v>145</v>
      </c>
      <c r="V5" s="20" t="s">
        <v>605</v>
      </c>
      <c r="W5" s="19" t="s">
        <v>181</v>
      </c>
      <c r="X5" s="20" t="s">
        <v>182</v>
      </c>
      <c r="Y5" s="20" t="str">
        <f>IFERROR(VLOOKUP(W5,'TB 各拠点LCM搭載機種一覧 (全拠点）'!$C$12:$K$14,2,FALSE),"")</f>
        <v>33109-3A0 -A040-62</v>
      </c>
      <c r="Z5" s="20" t="str">
        <f>IFERROR(VLOOKUP(W5,'TB 各拠点LCM搭載機種一覧 (全拠点）'!$C$12:$K$14,3,FALSE),"")</f>
        <v>MEAX</v>
      </c>
      <c r="AA5" s="20" t="str">
        <f>IFERROR(VLOOKUP(W5,'TB 各拠点LCM搭載機種一覧 (全拠点）'!$C$12:$K$14,4,FALSE),"")</f>
        <v>Low</v>
      </c>
      <c r="AB5" s="192">
        <v>44859</v>
      </c>
      <c r="AC5" s="25" t="str" cm="1">
        <f t="array" aca="1" ref="AC5" ca="1">IFERROR(INDEX(TABLE!$D$5:$D$18,MATCH(1,(TABLE!$A$5:$A$18=D5)*(TABLE!$B$5:$B$18&lt;=AB5)*(TABLE!$C$5:$C$18&gt;=AB5),0)),"対策前")</f>
        <v>対策前</v>
      </c>
      <c r="AD5" s="25" t="s">
        <v>811</v>
      </c>
      <c r="AE5" s="20" t="s">
        <v>183</v>
      </c>
      <c r="AF5" s="19" t="s">
        <v>184</v>
      </c>
      <c r="AG5" s="19" t="s">
        <v>160</v>
      </c>
      <c r="AH5" s="19" t="s">
        <v>127</v>
      </c>
      <c r="AI5" s="19" t="s">
        <v>126</v>
      </c>
      <c r="AJ5" s="20" t="s">
        <v>185</v>
      </c>
      <c r="AK5" s="19" t="s">
        <v>175</v>
      </c>
      <c r="AL5" s="19" t="s">
        <v>175</v>
      </c>
      <c r="AM5" s="20" t="s">
        <v>186</v>
      </c>
      <c r="AN5" s="20" t="s">
        <v>187</v>
      </c>
      <c r="AO5" s="20" t="s">
        <v>188</v>
      </c>
      <c r="AP5" s="20" t="s">
        <v>189</v>
      </c>
      <c r="AQ5" s="19" t="s">
        <v>648</v>
      </c>
      <c r="AR5" s="199" t="s">
        <v>923</v>
      </c>
      <c r="AS5" s="19" t="s">
        <v>175</v>
      </c>
      <c r="AU5" s="180"/>
      <c r="AV5" s="181"/>
      <c r="AW5" s="182" t="s">
        <v>855</v>
      </c>
      <c r="AX5" s="180"/>
      <c r="AY5" s="181" t="s">
        <v>855</v>
      </c>
      <c r="AZ5" s="182"/>
      <c r="BA5" s="180"/>
      <c r="BB5" s="181"/>
      <c r="BC5" s="182"/>
    </row>
    <row r="6" spans="1:55" ht="96" customHeight="1" x14ac:dyDescent="0.55000000000000004">
      <c r="A6" s="198" t="s">
        <v>190</v>
      </c>
      <c r="B6" s="19" t="s">
        <v>170</v>
      </c>
      <c r="C6" s="177">
        <v>2</v>
      </c>
      <c r="D6" s="19" t="s">
        <v>136</v>
      </c>
      <c r="E6" s="19" t="s">
        <v>138</v>
      </c>
      <c r="F6" s="19" t="str">
        <f>IFERROR(VLOOKUP(E6,TABLE!$A$27:$B$48,2,FALSE),"")</f>
        <v>ACCORD</v>
      </c>
      <c r="G6" s="19" t="s">
        <v>175</v>
      </c>
      <c r="H6" s="19" t="s">
        <v>893</v>
      </c>
      <c r="I6" s="19" t="s">
        <v>176</v>
      </c>
      <c r="J6" s="19" t="s">
        <v>177</v>
      </c>
      <c r="K6" s="19" t="s">
        <v>175</v>
      </c>
      <c r="L6" s="20">
        <v>1</v>
      </c>
      <c r="M6" s="19" t="s">
        <v>175</v>
      </c>
      <c r="N6" s="19" t="s">
        <v>192</v>
      </c>
      <c r="O6" s="195">
        <v>44943</v>
      </c>
      <c r="P6" s="195">
        <v>44932</v>
      </c>
      <c r="Q6" s="20" t="s">
        <v>193</v>
      </c>
      <c r="R6" s="20" t="s">
        <v>194</v>
      </c>
      <c r="S6" s="20">
        <f>IFERROR(VLOOKUP(W6,'TB 各拠点LCM搭載機種一覧 (全拠点）'!$C$12:$K$14,8,FALSE),"")</f>
        <v>4281316802</v>
      </c>
      <c r="T6" s="20" t="str">
        <f>IFERROR(VLOOKUP(W6,'TB 各拠点LCM搭載機種一覧 (全拠点）'!$C$12:$K$14,9,FALSE),"")</f>
        <v>W5882M/LIGHT CNTRL</v>
      </c>
      <c r="U6" s="20" t="s">
        <v>146</v>
      </c>
      <c r="V6" s="20" t="s">
        <v>605</v>
      </c>
      <c r="W6" s="19" t="s">
        <v>195</v>
      </c>
      <c r="X6" s="20" t="s">
        <v>196</v>
      </c>
      <c r="Y6" s="20" t="str">
        <f>IFERROR(VLOOKUP(W6,'TB 各拠点LCM搭載機種一覧 (全拠点）'!$C$12:$K$14,2,FALSE),"")</f>
        <v>33100-30E -H020-62</v>
      </c>
      <c r="Z6" s="20" t="str">
        <f>IFERROR(VLOOKUP(W6,'TB 各拠点LCM搭載機種一覧 (全拠点）'!$C$12:$K$14,3,FALSE),"")</f>
        <v>MEAX</v>
      </c>
      <c r="AA6" s="20" t="str">
        <f>IFERROR(VLOOKUP(W6,'TB 各拠点LCM搭載機種一覧 (全拠点）'!$C$12:$K$14,4,FALSE),"")</f>
        <v>Low</v>
      </c>
      <c r="AB6" s="193">
        <v>44909</v>
      </c>
      <c r="AC6" s="25" t="str" cm="1">
        <f t="array" aca="1" ref="AC6" ca="1">IFERROR(INDEX(TABLE!$D$5:$D$18,MATCH(1,(TABLE!$A$5:$A$18=D6)*(TABLE!$B$5:$B$18&lt;=AB6)*(TABLE!$C$5:$C$18&gt;=AB6),0)),"対策前")</f>
        <v>対策前</v>
      </c>
      <c r="AD6" s="20" t="s">
        <v>812</v>
      </c>
      <c r="AE6" s="20" t="s">
        <v>197</v>
      </c>
      <c r="AF6" s="19" t="s">
        <v>184</v>
      </c>
      <c r="AG6" s="19" t="s">
        <v>879</v>
      </c>
      <c r="AH6" s="19" t="s">
        <v>127</v>
      </c>
      <c r="AI6" s="19" t="s">
        <v>126</v>
      </c>
      <c r="AJ6" s="20" t="s">
        <v>198</v>
      </c>
      <c r="AK6" s="19" t="s">
        <v>175</v>
      </c>
      <c r="AL6" s="19" t="s">
        <v>175</v>
      </c>
      <c r="AM6" s="20" t="s">
        <v>199</v>
      </c>
      <c r="AN6" s="20" t="s">
        <v>200</v>
      </c>
      <c r="AO6" s="20" t="s">
        <v>201</v>
      </c>
      <c r="AP6" s="20" t="s">
        <v>202</v>
      </c>
      <c r="AQ6" s="19" t="s">
        <v>648</v>
      </c>
      <c r="AR6" s="200" t="s">
        <v>924</v>
      </c>
      <c r="AS6" s="19" t="s">
        <v>175</v>
      </c>
      <c r="AU6" s="180"/>
      <c r="AV6" s="181"/>
      <c r="AW6" s="182" t="s">
        <v>855</v>
      </c>
      <c r="AX6" s="180"/>
      <c r="AY6" s="181" t="s">
        <v>170</v>
      </c>
      <c r="AZ6" s="182"/>
      <c r="BA6" s="180"/>
      <c r="BB6" s="181"/>
      <c r="BC6" s="182"/>
    </row>
    <row r="7" spans="1:55" ht="63.65" customHeight="1" x14ac:dyDescent="0.55000000000000004">
      <c r="A7" s="198" t="s">
        <v>203</v>
      </c>
      <c r="B7" s="19" t="s">
        <v>170</v>
      </c>
      <c r="C7" s="177">
        <v>3</v>
      </c>
      <c r="D7" s="19" t="s">
        <v>136</v>
      </c>
      <c r="E7" s="19" t="s">
        <v>174</v>
      </c>
      <c r="F7" s="19" t="str">
        <f>IFERROR(VLOOKUP(E7,TABLE!$A$27:$B$48,2,FALSE),"")</f>
        <v>CR-V</v>
      </c>
      <c r="G7" s="19" t="s">
        <v>204</v>
      </c>
      <c r="H7" s="19" t="s">
        <v>139</v>
      </c>
      <c r="I7" s="19" t="s">
        <v>175</v>
      </c>
      <c r="J7" s="19" t="s">
        <v>205</v>
      </c>
      <c r="K7" s="19"/>
      <c r="L7" s="20">
        <v>1</v>
      </c>
      <c r="M7" s="19"/>
      <c r="N7" s="19" t="s">
        <v>175</v>
      </c>
      <c r="O7" s="194">
        <v>44902</v>
      </c>
      <c r="P7" s="194">
        <v>44868</v>
      </c>
      <c r="Q7" s="19" t="s">
        <v>206</v>
      </c>
      <c r="R7" s="19" t="s">
        <v>207</v>
      </c>
      <c r="S7" s="20" t="str">
        <f>IFERROR(VLOOKUP(W7,'TB 各拠点LCM搭載機種一覧 (全拠点）'!$C$12:$K$14,8,FALSE),"")</f>
        <v/>
      </c>
      <c r="T7" s="20" t="str">
        <f>IFERROR(VLOOKUP(W7,'TB 各拠点LCM搭載機種一覧 (全拠点）'!$C$12:$K$14,9,FALSE),"")</f>
        <v/>
      </c>
      <c r="U7" s="20" t="s">
        <v>208</v>
      </c>
      <c r="V7" s="20" t="s">
        <v>605</v>
      </c>
      <c r="W7" s="19" t="s">
        <v>650</v>
      </c>
      <c r="X7" s="20" t="s">
        <v>209</v>
      </c>
      <c r="Y7" s="20" t="str">
        <f>IFERROR(VLOOKUP(W7,'TB 各拠点LCM搭載機種一覧 (全拠点）'!$C$12:$K$14,2,FALSE),"")</f>
        <v/>
      </c>
      <c r="Z7" s="20" t="str">
        <f>IFERROR(VLOOKUP(W7,'TB 各拠点LCM搭載機種一覧 (全拠点）'!$C$12:$K$14,3,FALSE),"")</f>
        <v/>
      </c>
      <c r="AA7" s="20" t="str">
        <f>IFERROR(VLOOKUP(W7,'TB 各拠点LCM搭載機種一覧 (全拠点）'!$C$12:$K$14,4,FALSE),"")</f>
        <v/>
      </c>
      <c r="AB7" s="192">
        <v>44844</v>
      </c>
      <c r="AC7" s="25" t="str" cm="1">
        <f t="array" aca="1" ref="AC7" ca="1">IFERROR(INDEX(TABLE!$D$5:$D$18,MATCH(1,(TABLE!$A$5:$A$18=D7)*(TABLE!$B$5:$B$18&lt;=AB7)*(TABLE!$C$5:$C$18&gt;=AB7),0)),"対策前")</f>
        <v>対策前</v>
      </c>
      <c r="AD7" s="20" t="s">
        <v>813</v>
      </c>
      <c r="AE7" s="20" t="s">
        <v>210</v>
      </c>
      <c r="AF7" s="20" t="s">
        <v>211</v>
      </c>
      <c r="AG7" s="19" t="s">
        <v>161</v>
      </c>
      <c r="AH7" s="20" t="s">
        <v>212</v>
      </c>
      <c r="AI7" s="20" t="s">
        <v>213</v>
      </c>
      <c r="AJ7" s="20" t="s">
        <v>214</v>
      </c>
      <c r="AK7" s="19" t="s">
        <v>175</v>
      </c>
      <c r="AL7" s="19" t="s">
        <v>175</v>
      </c>
      <c r="AM7" s="20" t="s">
        <v>215</v>
      </c>
      <c r="AN7" s="20" t="s">
        <v>216</v>
      </c>
      <c r="AO7" s="20" t="e">
        <v>#VALUE!</v>
      </c>
      <c r="AP7" s="20" t="s">
        <v>217</v>
      </c>
      <c r="AQ7" s="19" t="s">
        <v>648</v>
      </c>
      <c r="AR7" s="199" t="s">
        <v>923</v>
      </c>
      <c r="AS7" s="19" t="s">
        <v>218</v>
      </c>
      <c r="AU7" s="180"/>
      <c r="AV7" s="181"/>
      <c r="AW7" s="182"/>
      <c r="AX7" s="180"/>
      <c r="AY7" s="181" t="s">
        <v>170</v>
      </c>
      <c r="AZ7" s="182"/>
      <c r="BA7" s="180"/>
      <c r="BB7" s="181"/>
      <c r="BC7" s="182"/>
    </row>
    <row r="8" spans="1:55" ht="63.65" customHeight="1" x14ac:dyDescent="0.55000000000000004">
      <c r="A8" s="198" t="s">
        <v>219</v>
      </c>
      <c r="B8" s="19" t="s">
        <v>171</v>
      </c>
      <c r="C8" s="177">
        <v>4</v>
      </c>
      <c r="D8" s="19" t="s">
        <v>136</v>
      </c>
      <c r="E8" s="19" t="s">
        <v>138</v>
      </c>
      <c r="F8" s="19" t="str">
        <f>IFERROR(VLOOKUP(E8,TABLE!$A$27:$B$48,2,FALSE),"")</f>
        <v>ACCORD</v>
      </c>
      <c r="G8" s="19" t="s">
        <v>175</v>
      </c>
      <c r="H8" s="19" t="s">
        <v>175</v>
      </c>
      <c r="I8" s="19" t="s">
        <v>175</v>
      </c>
      <c r="J8" s="19" t="s">
        <v>220</v>
      </c>
      <c r="K8" s="19" t="s">
        <v>175</v>
      </c>
      <c r="L8" s="20">
        <v>1</v>
      </c>
      <c r="M8" s="19"/>
      <c r="N8" s="19" t="s">
        <v>175</v>
      </c>
      <c r="O8" s="195">
        <v>44944</v>
      </c>
      <c r="P8" s="195">
        <v>44944</v>
      </c>
      <c r="Q8" s="19" t="s">
        <v>206</v>
      </c>
      <c r="R8" s="19" t="s">
        <v>221</v>
      </c>
      <c r="S8" s="20">
        <f>IFERROR(VLOOKUP(W8,'TB 各拠点LCM搭載機種一覧 (全拠点）'!$C$12:$K$14,8,FALSE),"")</f>
        <v>4281316802</v>
      </c>
      <c r="T8" s="20" t="str">
        <f>IFERROR(VLOOKUP(W8,'TB 各拠点LCM搭載機種一覧 (全拠点）'!$C$12:$K$14,9,FALSE),"")</f>
        <v>W5882M/LIGHT CNTRL</v>
      </c>
      <c r="U8" s="19" t="s">
        <v>175</v>
      </c>
      <c r="V8" s="20" t="s">
        <v>605</v>
      </c>
      <c r="W8" s="19" t="s">
        <v>195</v>
      </c>
      <c r="X8" s="20" t="s">
        <v>222</v>
      </c>
      <c r="Y8" s="20" t="str">
        <f>IFERROR(VLOOKUP(W8,'TB 各拠点LCM搭載機種一覧 (全拠点）'!$C$12:$K$14,2,FALSE),"")</f>
        <v>33100-30E -H020-62</v>
      </c>
      <c r="Z8" s="20" t="str">
        <f>IFERROR(VLOOKUP(W8,'TB 各拠点LCM搭載機種一覧 (全拠点）'!$C$12:$K$14,3,FALSE),"")</f>
        <v>MEAX</v>
      </c>
      <c r="AA8" s="20" t="str">
        <f>IFERROR(VLOOKUP(W8,'TB 各拠点LCM搭載機種一覧 (全拠点）'!$C$12:$K$14,4,FALSE),"")</f>
        <v>Low</v>
      </c>
      <c r="AB8" s="193">
        <v>44922</v>
      </c>
      <c r="AC8" s="25" t="str" cm="1">
        <f t="array" aca="1" ref="AC8" ca="1">IFERROR(INDEX(TABLE!$D$5:$D$18,MATCH(1,(TABLE!$A$5:$A$18=D8)*(TABLE!$B$5:$B$18&lt;=AB8)*(TABLE!$C$5:$C$18&gt;=AB8),0)),"対策前")</f>
        <v>対策前</v>
      </c>
      <c r="AD8" s="20" t="s">
        <v>814</v>
      </c>
      <c r="AE8" s="20" t="s">
        <v>210</v>
      </c>
      <c r="AF8" s="20" t="s">
        <v>223</v>
      </c>
      <c r="AG8" s="19" t="s">
        <v>161</v>
      </c>
      <c r="AH8" s="20" t="s">
        <v>212</v>
      </c>
      <c r="AI8" s="20" t="s">
        <v>126</v>
      </c>
      <c r="AJ8" s="20" t="s">
        <v>224</v>
      </c>
      <c r="AK8" s="19" t="s">
        <v>175</v>
      </c>
      <c r="AL8" s="19" t="s">
        <v>175</v>
      </c>
      <c r="AM8" s="20" t="s">
        <v>225</v>
      </c>
      <c r="AN8" s="20" t="s">
        <v>226</v>
      </c>
      <c r="AO8" s="20" t="e">
        <v>#VALUE!</v>
      </c>
      <c r="AP8" s="20" t="s">
        <v>227</v>
      </c>
      <c r="AQ8" s="19" t="s">
        <v>648</v>
      </c>
      <c r="AR8" s="199" t="s">
        <v>923</v>
      </c>
      <c r="AS8" s="19" t="s">
        <v>175</v>
      </c>
      <c r="AU8" s="180"/>
      <c r="AV8" s="181"/>
      <c r="AW8" s="182"/>
      <c r="AX8" s="180"/>
      <c r="AY8" s="181" t="s">
        <v>170</v>
      </c>
      <c r="AZ8" s="182"/>
      <c r="BA8" s="180"/>
      <c r="BB8" s="181"/>
      <c r="BC8" s="182"/>
    </row>
    <row r="9" spans="1:55" ht="63.65" customHeight="1" x14ac:dyDescent="0.55000000000000004">
      <c r="A9" s="198" t="s">
        <v>228</v>
      </c>
      <c r="B9" s="19" t="s">
        <v>171</v>
      </c>
      <c r="C9" s="177">
        <v>5</v>
      </c>
      <c r="D9" s="19" t="s">
        <v>136</v>
      </c>
      <c r="E9" s="19" t="s">
        <v>138</v>
      </c>
      <c r="F9" s="19" t="str">
        <f>IFERROR(VLOOKUP(E9,TABLE!$A$27:$B$48,2,FALSE),"")</f>
        <v>ACCORD</v>
      </c>
      <c r="G9" s="19" t="s">
        <v>175</v>
      </c>
      <c r="H9" s="19" t="s">
        <v>191</v>
      </c>
      <c r="I9" s="19" t="s">
        <v>175</v>
      </c>
      <c r="J9" s="19" t="s">
        <v>220</v>
      </c>
      <c r="K9" s="19" t="s">
        <v>175</v>
      </c>
      <c r="L9" s="20">
        <v>1</v>
      </c>
      <c r="M9" s="19" t="s">
        <v>175</v>
      </c>
      <c r="N9" s="19" t="s">
        <v>175</v>
      </c>
      <c r="O9" s="194">
        <v>44943</v>
      </c>
      <c r="P9" s="194">
        <v>44943</v>
      </c>
      <c r="Q9" s="20" t="s">
        <v>229</v>
      </c>
      <c r="R9" s="20" t="s">
        <v>221</v>
      </c>
      <c r="S9" s="20">
        <f>IFERROR(VLOOKUP(W9,'TB 各拠点LCM搭載機種一覧 (全拠点）'!$C$12:$K$14,8,FALSE),"")</f>
        <v>4281316802</v>
      </c>
      <c r="T9" s="20" t="str">
        <f>IFERROR(VLOOKUP(W9,'TB 各拠点LCM搭載機種一覧 (全拠点）'!$C$12:$K$14,9,FALSE),"")</f>
        <v>W5882M/LIGHT CNTRL</v>
      </c>
      <c r="U9" s="20" t="s">
        <v>175</v>
      </c>
      <c r="V9" s="20" t="s">
        <v>605</v>
      </c>
      <c r="W9" s="19" t="s">
        <v>195</v>
      </c>
      <c r="X9" s="20" t="s">
        <v>230</v>
      </c>
      <c r="Y9" s="20" t="str">
        <f>IFERROR(VLOOKUP(W9,'TB 各拠点LCM搭載機種一覧 (全拠点）'!$C$12:$K$14,2,FALSE),"")</f>
        <v>33100-30E -H020-62</v>
      </c>
      <c r="Z9" s="20" t="str">
        <f>IFERROR(VLOOKUP(W9,'TB 各拠点LCM搭載機種一覧 (全拠点）'!$C$12:$K$14,3,FALSE),"")</f>
        <v>MEAX</v>
      </c>
      <c r="AA9" s="20" t="str">
        <f>IFERROR(VLOOKUP(W9,'TB 各拠点LCM搭載機種一覧 (全拠点）'!$C$12:$K$14,4,FALSE),"")</f>
        <v>Low</v>
      </c>
      <c r="AB9" s="192">
        <v>44929</v>
      </c>
      <c r="AC9" s="25" t="str" cm="1">
        <f t="array" aca="1" ref="AC9" ca="1">IFERROR(INDEX(TABLE!$D$5:$D$18,MATCH(1,(TABLE!$A$5:$A$18=D9)*(TABLE!$B$5:$B$18&lt;=AB9)*(TABLE!$C$5:$C$18&gt;=AB9),0)),"対策前")</f>
        <v>対策前</v>
      </c>
      <c r="AD9" s="20" t="s">
        <v>815</v>
      </c>
      <c r="AE9" s="20" t="s">
        <v>231</v>
      </c>
      <c r="AF9" s="19" t="s">
        <v>184</v>
      </c>
      <c r="AG9" s="19" t="s">
        <v>184</v>
      </c>
      <c r="AH9" s="19" t="s">
        <v>126</v>
      </c>
      <c r="AI9" s="19" t="s">
        <v>126</v>
      </c>
      <c r="AJ9" s="19" t="s">
        <v>126</v>
      </c>
      <c r="AK9" s="19" t="s">
        <v>175</v>
      </c>
      <c r="AL9" s="19" t="s">
        <v>175</v>
      </c>
      <c r="AM9" s="19" t="s">
        <v>175</v>
      </c>
      <c r="AN9" s="19" t="s">
        <v>175</v>
      </c>
      <c r="AO9" s="20" t="s">
        <v>232</v>
      </c>
      <c r="AP9" s="20" t="s">
        <v>233</v>
      </c>
      <c r="AQ9" s="19" t="s">
        <v>648</v>
      </c>
      <c r="AR9" s="200" t="s">
        <v>47</v>
      </c>
      <c r="AS9" s="19" t="s">
        <v>175</v>
      </c>
      <c r="AU9" s="180"/>
      <c r="AV9" s="181"/>
      <c r="AW9" s="182" t="s">
        <v>854</v>
      </c>
      <c r="AX9" s="180" t="s">
        <v>854</v>
      </c>
      <c r="AY9" s="181"/>
      <c r="AZ9" s="182"/>
      <c r="BA9" s="180"/>
      <c r="BB9" s="181"/>
      <c r="BC9" s="182"/>
    </row>
    <row r="10" spans="1:55" ht="63.65" customHeight="1" x14ac:dyDescent="0.55000000000000004">
      <c r="A10" s="198" t="s">
        <v>234</v>
      </c>
      <c r="B10" s="19" t="s">
        <v>170</v>
      </c>
      <c r="C10" s="177">
        <v>6</v>
      </c>
      <c r="D10" s="19" t="s">
        <v>136</v>
      </c>
      <c r="E10" s="19" t="s">
        <v>174</v>
      </c>
      <c r="F10" s="19" t="str">
        <f>IFERROR(VLOOKUP(E10,TABLE!$A$27:$B$48,2,FALSE),"")</f>
        <v>CR-V</v>
      </c>
      <c r="G10" s="19" t="s">
        <v>175</v>
      </c>
      <c r="H10" s="19" t="s">
        <v>191</v>
      </c>
      <c r="I10" s="19" t="s">
        <v>176</v>
      </c>
      <c r="J10" s="19" t="s">
        <v>177</v>
      </c>
      <c r="K10" s="19" t="s">
        <v>175</v>
      </c>
      <c r="L10" s="20">
        <v>1</v>
      </c>
      <c r="M10" s="19" t="s">
        <v>175</v>
      </c>
      <c r="N10" s="19" t="s">
        <v>178</v>
      </c>
      <c r="O10" s="195">
        <v>44949</v>
      </c>
      <c r="P10" s="195">
        <v>44939</v>
      </c>
      <c r="Q10" s="19" t="s">
        <v>235</v>
      </c>
      <c r="R10" s="19" t="s">
        <v>236</v>
      </c>
      <c r="S10" s="20">
        <f>IFERROR(VLOOKUP(W10,'TB 各拠点LCM搭載機種一覧 (全拠点）'!$C$12:$K$14,8,FALSE),"")</f>
        <v>1480820503</v>
      </c>
      <c r="T10" s="20" t="str">
        <f>IFERROR(VLOOKUP(W10,'TB 各拠点LCM搭載機種一覧 (全拠点）'!$C$12:$K$14,9,FALSE),"")</f>
        <v>W6250M/LIGHT CNTRL</v>
      </c>
      <c r="U10" s="20" t="s">
        <v>150</v>
      </c>
      <c r="V10" s="20" t="s">
        <v>605</v>
      </c>
      <c r="W10" s="19" t="s">
        <v>181</v>
      </c>
      <c r="X10" s="20" t="s">
        <v>237</v>
      </c>
      <c r="Y10" s="20" t="str">
        <f>IFERROR(VLOOKUP(W10,'TB 各拠点LCM搭載機種一覧 (全拠点）'!$C$12:$K$14,2,FALSE),"")</f>
        <v>33109-3A0 -A040-62</v>
      </c>
      <c r="Z10" s="20" t="str">
        <f>IFERROR(VLOOKUP(W10,'TB 各拠点LCM搭載機種一覧 (全拠点）'!$C$12:$K$14,3,FALSE),"")</f>
        <v>MEAX</v>
      </c>
      <c r="AA10" s="20" t="str">
        <f>IFERROR(VLOOKUP(W10,'TB 各拠点LCM搭載機種一覧 (全拠点）'!$C$12:$K$14,4,FALSE),"")</f>
        <v>Low</v>
      </c>
      <c r="AB10" s="193">
        <v>44917</v>
      </c>
      <c r="AC10" s="25" t="str" cm="1">
        <f t="array" aca="1" ref="AC10" ca="1">IFERROR(INDEX(TABLE!$D$5:$D$18,MATCH(1,(TABLE!$A$5:$A$18=D10)*(TABLE!$B$5:$B$18&lt;=AB10)*(TABLE!$C$5:$C$18&gt;=AB10),0)),"対策前")</f>
        <v>対策前</v>
      </c>
      <c r="AD10" s="40" t="s">
        <v>816</v>
      </c>
      <c r="AE10" s="20" t="s">
        <v>238</v>
      </c>
      <c r="AF10" s="19" t="s">
        <v>184</v>
      </c>
      <c r="AG10" s="19" t="s">
        <v>161</v>
      </c>
      <c r="AH10" s="19" t="s">
        <v>212</v>
      </c>
      <c r="AI10" s="20" t="s">
        <v>239</v>
      </c>
      <c r="AJ10" s="20" t="s">
        <v>240</v>
      </c>
      <c r="AK10" s="20" t="s">
        <v>175</v>
      </c>
      <c r="AL10" s="20"/>
      <c r="AM10" s="20" t="s">
        <v>241</v>
      </c>
      <c r="AN10" s="20" t="s">
        <v>242</v>
      </c>
      <c r="AO10" s="20" t="s">
        <v>243</v>
      </c>
      <c r="AP10" s="20" t="s">
        <v>244</v>
      </c>
      <c r="AQ10" s="19" t="s">
        <v>648</v>
      </c>
      <c r="AR10" s="200" t="s">
        <v>924</v>
      </c>
      <c r="AS10" s="19" t="s">
        <v>175</v>
      </c>
      <c r="AU10" s="180" t="s">
        <v>170</v>
      </c>
      <c r="AV10" s="181"/>
      <c r="AW10" s="182"/>
      <c r="AX10" s="180"/>
      <c r="AY10" s="181" t="s">
        <v>170</v>
      </c>
      <c r="AZ10" s="182"/>
      <c r="BA10" s="180"/>
      <c r="BB10" s="181"/>
      <c r="BC10" s="182"/>
    </row>
    <row r="11" spans="1:55" ht="63.65" customHeight="1" x14ac:dyDescent="0.55000000000000004">
      <c r="A11" s="198" t="s">
        <v>245</v>
      </c>
      <c r="B11" s="19" t="s">
        <v>171</v>
      </c>
      <c r="C11" s="19">
        <v>7</v>
      </c>
      <c r="D11" s="19" t="s">
        <v>136</v>
      </c>
      <c r="E11" s="19" t="s">
        <v>138</v>
      </c>
      <c r="F11" s="19" t="str">
        <f>IFERROR(VLOOKUP(E11,TABLE!$A$27:$B$48,2,FALSE),"")</f>
        <v>ACCORD</v>
      </c>
      <c r="G11" s="19" t="s">
        <v>175</v>
      </c>
      <c r="H11" s="19" t="s">
        <v>175</v>
      </c>
      <c r="I11" s="19" t="s">
        <v>175</v>
      </c>
      <c r="J11" s="19" t="s">
        <v>177</v>
      </c>
      <c r="K11" s="19" t="s">
        <v>175</v>
      </c>
      <c r="L11" s="20">
        <v>1</v>
      </c>
      <c r="M11" s="19" t="s">
        <v>175</v>
      </c>
      <c r="N11" s="19" t="s">
        <v>192</v>
      </c>
      <c r="O11" s="194">
        <v>44963</v>
      </c>
      <c r="P11" s="194"/>
      <c r="Q11" s="19" t="s">
        <v>246</v>
      </c>
      <c r="R11" s="19" t="s">
        <v>175</v>
      </c>
      <c r="S11" s="20" t="str">
        <f>IFERROR(VLOOKUP(W11,'TB 各拠点LCM搭載機種一覧 (全拠点）'!$C$12:$K$14,8,FALSE),"")</f>
        <v/>
      </c>
      <c r="T11" s="20" t="str">
        <f>IFERROR(VLOOKUP(W11,'TB 各拠点LCM搭載機種一覧 (全拠点）'!$C$12:$K$14,9,FALSE),"")</f>
        <v/>
      </c>
      <c r="U11" s="19" t="s">
        <v>175</v>
      </c>
      <c r="V11" s="20" t="s">
        <v>605</v>
      </c>
      <c r="W11" s="19" t="s">
        <v>175</v>
      </c>
      <c r="X11" s="19" t="s">
        <v>175</v>
      </c>
      <c r="Y11" s="20" t="str">
        <f>IFERROR(VLOOKUP(W11,'TB 各拠点LCM搭載機種一覧 (全拠点）'!$C$12:$K$14,2,FALSE),"")</f>
        <v/>
      </c>
      <c r="Z11" s="20" t="str">
        <f>IFERROR(VLOOKUP(W11,'TB 各拠点LCM搭載機種一覧 (全拠点）'!$C$12:$K$14,3,FALSE),"")</f>
        <v/>
      </c>
      <c r="AA11" s="20" t="str">
        <f>IFERROR(VLOOKUP(W11,'TB 各拠点LCM搭載機種一覧 (全拠点）'!$C$12:$K$14,4,FALSE),"")</f>
        <v/>
      </c>
      <c r="AB11" s="192"/>
      <c r="AC11" s="25" t="str" cm="1">
        <f t="array" aca="1" ref="AC11" ca="1">IFERROR(INDEX(TABLE!$D$5:$D$18,MATCH(1,(TABLE!$A$5:$A$18=D11)*(TABLE!$B$5:$B$18&lt;=AB11)*(TABLE!$C$5:$C$18&gt;=AB11),0)),"対策前")</f>
        <v>対策前</v>
      </c>
      <c r="AD11" s="40" t="s">
        <v>175</v>
      </c>
      <c r="AE11" s="20" t="s">
        <v>175</v>
      </c>
      <c r="AF11" s="19" t="s">
        <v>175</v>
      </c>
      <c r="AG11" s="19" t="s">
        <v>184</v>
      </c>
      <c r="AH11" s="19" t="s">
        <v>175</v>
      </c>
      <c r="AI11" s="19" t="s">
        <v>175</v>
      </c>
      <c r="AJ11" s="19" t="s">
        <v>175</v>
      </c>
      <c r="AK11" s="19" t="s">
        <v>175</v>
      </c>
      <c r="AL11" s="19" t="s">
        <v>175</v>
      </c>
      <c r="AM11" s="19" t="s">
        <v>175</v>
      </c>
      <c r="AN11" s="19" t="s">
        <v>175</v>
      </c>
      <c r="AO11" s="20" t="e">
        <v>#VALUE!</v>
      </c>
      <c r="AP11" s="20" t="s">
        <v>247</v>
      </c>
      <c r="AQ11" s="19" t="s">
        <v>648</v>
      </c>
      <c r="AR11" s="200" t="s">
        <v>47</v>
      </c>
      <c r="AS11" s="19" t="s">
        <v>175</v>
      </c>
      <c r="AU11" s="180"/>
      <c r="AV11" s="181"/>
      <c r="AW11" s="182" t="s">
        <v>170</v>
      </c>
      <c r="AX11" s="180"/>
      <c r="AY11" s="181" t="s">
        <v>170</v>
      </c>
      <c r="AZ11" s="182"/>
      <c r="BA11" s="180"/>
      <c r="BB11" s="181"/>
      <c r="BC11" s="182"/>
    </row>
    <row r="12" spans="1:55" ht="63.65" customHeight="1" x14ac:dyDescent="0.55000000000000004">
      <c r="A12" s="198" t="s">
        <v>248</v>
      </c>
      <c r="B12" s="19" t="s">
        <v>171</v>
      </c>
      <c r="C12" s="19">
        <v>8</v>
      </c>
      <c r="D12" s="19" t="s">
        <v>136</v>
      </c>
      <c r="E12" s="19" t="s">
        <v>174</v>
      </c>
      <c r="F12" s="19" t="str">
        <f>IFERROR(VLOOKUP(E12,TABLE!$A$27:$B$48,2,FALSE),"")</f>
        <v>CR-V</v>
      </c>
      <c r="G12" s="19" t="s">
        <v>175</v>
      </c>
      <c r="H12" s="19" t="s">
        <v>139</v>
      </c>
      <c r="I12" s="19" t="s">
        <v>175</v>
      </c>
      <c r="J12" s="19" t="s">
        <v>220</v>
      </c>
      <c r="K12" s="20"/>
      <c r="L12" s="20">
        <v>1</v>
      </c>
      <c r="M12" s="20" t="s">
        <v>249</v>
      </c>
      <c r="N12" s="20" t="s">
        <v>175</v>
      </c>
      <c r="O12" s="195">
        <v>44953</v>
      </c>
      <c r="P12" s="195">
        <v>44953</v>
      </c>
      <c r="Q12" s="20" t="s">
        <v>250</v>
      </c>
      <c r="R12" s="20" t="s">
        <v>251</v>
      </c>
      <c r="S12" s="20">
        <f>IFERROR(VLOOKUP(W12,'TB 各拠点LCM搭載機種一覧 (全拠点）'!$C$12:$K$14,8,FALSE),"")</f>
        <v>1480820503</v>
      </c>
      <c r="T12" s="20" t="str">
        <f>IFERROR(VLOOKUP(W12,'TB 各拠点LCM搭載機種一覧 (全拠点）'!$C$12:$K$14,9,FALSE),"")</f>
        <v>W6250M/LIGHT CNTRL</v>
      </c>
      <c r="U12" s="20" t="s">
        <v>175</v>
      </c>
      <c r="V12" s="20" t="s">
        <v>605</v>
      </c>
      <c r="W12" s="19" t="s">
        <v>181</v>
      </c>
      <c r="X12" s="20" t="s">
        <v>252</v>
      </c>
      <c r="Y12" s="20" t="str">
        <f>IFERROR(VLOOKUP(W12,'TB 各拠点LCM搭載機種一覧 (全拠点）'!$C$12:$K$14,2,FALSE),"")</f>
        <v>33109-3A0 -A040-62</v>
      </c>
      <c r="Z12" s="20" t="str">
        <f>IFERROR(VLOOKUP(W12,'TB 各拠点LCM搭載機種一覧 (全拠点）'!$C$12:$K$14,3,FALSE),"")</f>
        <v>MEAX</v>
      </c>
      <c r="AA12" s="20" t="str">
        <f>IFERROR(VLOOKUP(W12,'TB 各拠点LCM搭載機種一覧 (全拠点）'!$C$12:$K$14,4,FALSE),"")</f>
        <v>Low</v>
      </c>
      <c r="AB12" s="193">
        <v>44931</v>
      </c>
      <c r="AC12" s="25" t="str" cm="1">
        <f t="array" aca="1" ref="AC12" ca="1">IFERROR(INDEX(TABLE!$D$5:$D$18,MATCH(1,(TABLE!$A$5:$A$18=D12)*(TABLE!$B$5:$B$18&lt;=AB12)*(TABLE!$C$5:$C$18&gt;=AB12),0)),"対策前")</f>
        <v>対策前</v>
      </c>
      <c r="AD12" s="20" t="s">
        <v>817</v>
      </c>
      <c r="AE12" s="20" t="s">
        <v>253</v>
      </c>
      <c r="AF12" s="19" t="s">
        <v>184</v>
      </c>
      <c r="AG12" s="19" t="s">
        <v>160</v>
      </c>
      <c r="AH12" s="19" t="s">
        <v>127</v>
      </c>
      <c r="AI12" s="20" t="s">
        <v>126</v>
      </c>
      <c r="AJ12" s="20" t="s">
        <v>198</v>
      </c>
      <c r="AK12" s="20" t="s">
        <v>175</v>
      </c>
      <c r="AL12" s="20" t="s">
        <v>175</v>
      </c>
      <c r="AM12" s="20" t="s">
        <v>254</v>
      </c>
      <c r="AN12" s="20" t="s">
        <v>255</v>
      </c>
      <c r="AO12" s="20" t="s">
        <v>256</v>
      </c>
      <c r="AP12" s="20" t="s">
        <v>257</v>
      </c>
      <c r="AQ12" s="19" t="s">
        <v>648</v>
      </c>
      <c r="AR12" s="200" t="s">
        <v>924</v>
      </c>
      <c r="AS12" s="19" t="s">
        <v>175</v>
      </c>
      <c r="AU12" s="180" t="s">
        <v>170</v>
      </c>
      <c r="AV12" s="181"/>
      <c r="AW12" s="182"/>
      <c r="AX12" s="180"/>
      <c r="AY12" s="181" t="s">
        <v>170</v>
      </c>
      <c r="AZ12" s="182"/>
      <c r="BA12" s="180"/>
      <c r="BB12" s="181"/>
      <c r="BC12" s="182"/>
    </row>
    <row r="13" spans="1:55" ht="63.65" customHeight="1" x14ac:dyDescent="0.55000000000000004">
      <c r="A13" s="198" t="s">
        <v>258</v>
      </c>
      <c r="B13" s="19" t="s">
        <v>171</v>
      </c>
      <c r="C13" s="177">
        <v>9</v>
      </c>
      <c r="D13" s="19" t="s">
        <v>136</v>
      </c>
      <c r="E13" s="19" t="s">
        <v>174</v>
      </c>
      <c r="F13" s="19" t="str">
        <f>IFERROR(VLOOKUP(E13,TABLE!$A$27:$B$48,2,FALSE),"")</f>
        <v>CR-V</v>
      </c>
      <c r="G13" s="19" t="s">
        <v>175</v>
      </c>
      <c r="H13" s="19" t="s">
        <v>191</v>
      </c>
      <c r="I13" s="19" t="s">
        <v>175</v>
      </c>
      <c r="J13" s="19" t="s">
        <v>177</v>
      </c>
      <c r="K13" s="19" t="s">
        <v>175</v>
      </c>
      <c r="L13" s="20">
        <v>1</v>
      </c>
      <c r="M13" s="19" t="s">
        <v>175</v>
      </c>
      <c r="N13" s="19" t="s">
        <v>178</v>
      </c>
      <c r="O13" s="194">
        <v>44950</v>
      </c>
      <c r="P13" s="194">
        <v>44944</v>
      </c>
      <c r="Q13" s="20" t="s">
        <v>259</v>
      </c>
      <c r="R13" s="20" t="s">
        <v>260</v>
      </c>
      <c r="S13" s="20">
        <f>IFERROR(VLOOKUP(W13,'TB 各拠点LCM搭載機種一覧 (全拠点）'!$C$12:$K$14,8,FALSE),"")</f>
        <v>1480820503</v>
      </c>
      <c r="T13" s="20" t="str">
        <f>IFERROR(VLOOKUP(W13,'TB 各拠点LCM搭載機種一覧 (全拠点）'!$C$12:$K$14,9,FALSE),"")</f>
        <v>W6250M/LIGHT CNTRL</v>
      </c>
      <c r="U13" s="20" t="s">
        <v>147</v>
      </c>
      <c r="V13" s="20" t="s">
        <v>605</v>
      </c>
      <c r="W13" s="19" t="s">
        <v>181</v>
      </c>
      <c r="X13" s="20" t="s">
        <v>261</v>
      </c>
      <c r="Y13" s="20" t="str">
        <f>IFERROR(VLOOKUP(W13,'TB 各拠点LCM搭載機種一覧 (全拠点）'!$C$12:$K$14,2,FALSE),"")</f>
        <v>33109-3A0 -A040-62</v>
      </c>
      <c r="Z13" s="20" t="str">
        <f>IFERROR(VLOOKUP(W13,'TB 各拠点LCM搭載機種一覧 (全拠点）'!$C$12:$K$14,3,FALSE),"")</f>
        <v>MEAX</v>
      </c>
      <c r="AA13" s="20" t="str">
        <f>IFERROR(VLOOKUP(W13,'TB 各拠点LCM搭載機種一覧 (全拠点）'!$C$12:$K$14,4,FALSE),"")</f>
        <v>Low</v>
      </c>
      <c r="AB13" s="192">
        <v>44896</v>
      </c>
      <c r="AC13" s="25" t="str" cm="1">
        <f t="array" aca="1" ref="AC13" ca="1">IFERROR(INDEX(TABLE!$D$5:$D$18,MATCH(1,(TABLE!$A$5:$A$18=D13)*(TABLE!$B$5:$B$18&lt;=AB13)*(TABLE!$C$5:$C$18&gt;=AB13),0)),"対策前")</f>
        <v>対策前</v>
      </c>
      <c r="AD13" s="20" t="s">
        <v>818</v>
      </c>
      <c r="AE13" s="20" t="s">
        <v>262</v>
      </c>
      <c r="AF13" s="20" t="s">
        <v>263</v>
      </c>
      <c r="AG13" s="19" t="s">
        <v>184</v>
      </c>
      <c r="AH13" s="20" t="s">
        <v>126</v>
      </c>
      <c r="AI13" s="20" t="s">
        <v>126</v>
      </c>
      <c r="AJ13" s="20" t="s">
        <v>126</v>
      </c>
      <c r="AK13" s="20" t="s">
        <v>126</v>
      </c>
      <c r="AL13" s="20" t="s">
        <v>126</v>
      </c>
      <c r="AM13" s="20" t="s">
        <v>175</v>
      </c>
      <c r="AN13" s="20" t="s">
        <v>175</v>
      </c>
      <c r="AO13" s="20" t="s">
        <v>264</v>
      </c>
      <c r="AP13" s="20" t="s">
        <v>265</v>
      </c>
      <c r="AQ13" s="19" t="s">
        <v>648</v>
      </c>
      <c r="AR13" s="200" t="s">
        <v>47</v>
      </c>
      <c r="AS13" s="19" t="s">
        <v>175</v>
      </c>
      <c r="AU13" s="180"/>
      <c r="AV13" s="181"/>
      <c r="AW13" s="182" t="s">
        <v>170</v>
      </c>
      <c r="AX13" s="180" t="s">
        <v>170</v>
      </c>
      <c r="AY13" s="181"/>
      <c r="AZ13" s="182"/>
      <c r="BA13" s="180"/>
      <c r="BB13" s="181"/>
      <c r="BC13" s="182"/>
    </row>
    <row r="14" spans="1:55" ht="63.65" customHeight="1" x14ac:dyDescent="0.55000000000000004">
      <c r="A14" s="198" t="s">
        <v>266</v>
      </c>
      <c r="B14" s="19" t="s">
        <v>171</v>
      </c>
      <c r="C14" s="177">
        <v>10</v>
      </c>
      <c r="D14" s="19" t="s">
        <v>136</v>
      </c>
      <c r="E14" s="19" t="s">
        <v>138</v>
      </c>
      <c r="F14" s="19" t="str">
        <f>IFERROR(VLOOKUP(E14,TABLE!$A$27:$B$48,2,FALSE),"")</f>
        <v>ACCORD</v>
      </c>
      <c r="G14" s="19" t="s">
        <v>175</v>
      </c>
      <c r="H14" s="19" t="s">
        <v>191</v>
      </c>
      <c r="I14" s="19" t="s">
        <v>175</v>
      </c>
      <c r="J14" s="19" t="s">
        <v>220</v>
      </c>
      <c r="K14" s="19"/>
      <c r="L14" s="20">
        <v>1</v>
      </c>
      <c r="M14" s="19" t="s">
        <v>267</v>
      </c>
      <c r="N14" s="19" t="s">
        <v>175</v>
      </c>
      <c r="O14" s="195">
        <v>44965</v>
      </c>
      <c r="P14" s="195">
        <v>44965</v>
      </c>
      <c r="Q14" s="19" t="s">
        <v>268</v>
      </c>
      <c r="R14" s="19" t="s">
        <v>269</v>
      </c>
      <c r="S14" s="20">
        <f>IFERROR(VLOOKUP(W14,'TB 各拠点LCM搭載機種一覧 (全拠点）'!$C$12:$K$14,8,FALSE),"")</f>
        <v>4281316802</v>
      </c>
      <c r="T14" s="20" t="str">
        <f>IFERROR(VLOOKUP(W14,'TB 各拠点LCM搭載機種一覧 (全拠点）'!$C$12:$K$14,9,FALSE),"")</f>
        <v>W5882M/LIGHT CNTRL</v>
      </c>
      <c r="U14" s="19" t="s">
        <v>175</v>
      </c>
      <c r="V14" s="20" t="s">
        <v>605</v>
      </c>
      <c r="W14" s="19" t="s">
        <v>195</v>
      </c>
      <c r="X14" s="20" t="s">
        <v>270</v>
      </c>
      <c r="Y14" s="20" t="str">
        <f>IFERROR(VLOOKUP(W14,'TB 各拠点LCM搭載機種一覧 (全拠点）'!$C$12:$K$14,2,FALSE),"")</f>
        <v>33100-30E -H020-62</v>
      </c>
      <c r="Z14" s="20" t="str">
        <f>IFERROR(VLOOKUP(W14,'TB 各拠点LCM搭載機種一覧 (全拠点）'!$C$12:$K$14,3,FALSE),"")</f>
        <v>MEAX</v>
      </c>
      <c r="AA14" s="20" t="str">
        <f>IFERROR(VLOOKUP(W14,'TB 各拠点LCM搭載機種一覧 (全拠点）'!$C$12:$K$14,4,FALSE),"")</f>
        <v>Low</v>
      </c>
      <c r="AB14" s="193">
        <v>44957</v>
      </c>
      <c r="AC14" s="25" t="str" cm="1">
        <f t="array" aca="1" ref="AC14" ca="1">IFERROR(INDEX(TABLE!$D$5:$D$18,MATCH(1,(TABLE!$A$5:$A$18=D14)*(TABLE!$B$5:$B$18&lt;=AB14)*(TABLE!$C$5:$C$18&gt;=AB14),0)),"対策前")</f>
        <v>対策前</v>
      </c>
      <c r="AD14" s="28" t="s">
        <v>819</v>
      </c>
      <c r="AE14" s="20" t="s">
        <v>271</v>
      </c>
      <c r="AF14" s="20" t="s">
        <v>263</v>
      </c>
      <c r="AG14" s="19" t="s">
        <v>184</v>
      </c>
      <c r="AH14" s="20" t="s">
        <v>126</v>
      </c>
      <c r="AI14" s="20" t="s">
        <v>126</v>
      </c>
      <c r="AJ14" s="20" t="s">
        <v>126</v>
      </c>
      <c r="AK14" s="20" t="s">
        <v>126</v>
      </c>
      <c r="AL14" s="20" t="s">
        <v>126</v>
      </c>
      <c r="AM14" s="20" t="s">
        <v>175</v>
      </c>
      <c r="AN14" s="20" t="s">
        <v>175</v>
      </c>
      <c r="AO14" s="20" t="s">
        <v>264</v>
      </c>
      <c r="AP14" s="20" t="s">
        <v>265</v>
      </c>
      <c r="AQ14" s="19" t="s">
        <v>648</v>
      </c>
      <c r="AR14" s="200" t="s">
        <v>47</v>
      </c>
      <c r="AS14" s="19" t="s">
        <v>175</v>
      </c>
      <c r="AU14" s="180"/>
      <c r="AV14" s="181"/>
      <c r="AW14" s="182" t="s">
        <v>170</v>
      </c>
      <c r="AX14" s="180" t="s">
        <v>170</v>
      </c>
      <c r="AY14" s="181"/>
      <c r="AZ14" s="182"/>
      <c r="BA14" s="180"/>
      <c r="BB14" s="181"/>
      <c r="BC14" s="182"/>
    </row>
    <row r="15" spans="1:55" ht="63.65" customHeight="1" x14ac:dyDescent="0.55000000000000004">
      <c r="A15" s="198" t="s">
        <v>272</v>
      </c>
      <c r="B15" s="19" t="s">
        <v>170</v>
      </c>
      <c r="C15" s="177">
        <v>11</v>
      </c>
      <c r="D15" s="19" t="s">
        <v>136</v>
      </c>
      <c r="E15" s="19" t="s">
        <v>174</v>
      </c>
      <c r="F15" s="19" t="str">
        <f>IFERROR(VLOOKUP(E15,TABLE!$A$27:$B$48,2,FALSE),"")</f>
        <v>CR-V</v>
      </c>
      <c r="G15" s="19" t="s">
        <v>175</v>
      </c>
      <c r="H15" s="19" t="s">
        <v>191</v>
      </c>
      <c r="I15" s="19" t="s">
        <v>273</v>
      </c>
      <c r="J15" s="19" t="s">
        <v>177</v>
      </c>
      <c r="K15" s="27"/>
      <c r="L15" s="20">
        <v>1</v>
      </c>
      <c r="M15" s="27" t="s">
        <v>175</v>
      </c>
      <c r="N15" s="19" t="s">
        <v>192</v>
      </c>
      <c r="O15" s="194">
        <v>44977</v>
      </c>
      <c r="P15" s="194">
        <v>44954</v>
      </c>
      <c r="Q15" s="20" t="s">
        <v>274</v>
      </c>
      <c r="R15" s="20" t="s">
        <v>275</v>
      </c>
      <c r="S15" s="20">
        <f>IFERROR(VLOOKUP(W15,'TB 各拠点LCM搭載機種一覧 (全拠点）'!$C$12:$K$14,8,FALSE),"")</f>
        <v>1480820503</v>
      </c>
      <c r="T15" s="20" t="str">
        <f>IFERROR(VLOOKUP(W15,'TB 各拠点LCM搭載機種一覧 (全拠点）'!$C$12:$K$14,9,FALSE),"")</f>
        <v>W6250M/LIGHT CNTRL</v>
      </c>
      <c r="U15" s="20" t="s">
        <v>148</v>
      </c>
      <c r="V15" s="20" t="s">
        <v>605</v>
      </c>
      <c r="W15" s="19" t="s">
        <v>181</v>
      </c>
      <c r="X15" s="20" t="s">
        <v>276</v>
      </c>
      <c r="Y15" s="20" t="str">
        <f>IFERROR(VLOOKUP(W15,'TB 各拠点LCM搭載機種一覧 (全拠点）'!$C$12:$K$14,2,FALSE),"")</f>
        <v>33109-3A0 -A040-62</v>
      </c>
      <c r="Z15" s="20" t="str">
        <f>IFERROR(VLOOKUP(W15,'TB 各拠点LCM搭載機種一覧 (全拠点）'!$C$12:$K$14,3,FALSE),"")</f>
        <v>MEAX</v>
      </c>
      <c r="AA15" s="20" t="str">
        <f>IFERROR(VLOOKUP(W15,'TB 各拠点LCM搭載機種一覧 (全拠点）'!$C$12:$K$14,4,FALSE),"")</f>
        <v>Low</v>
      </c>
      <c r="AB15" s="192">
        <v>44930</v>
      </c>
      <c r="AC15" s="25" t="str" cm="1">
        <f t="array" aca="1" ref="AC15" ca="1">IFERROR(INDEX(TABLE!$D$5:$D$18,MATCH(1,(TABLE!$A$5:$A$18=D15)*(TABLE!$B$5:$B$18&lt;=AB15)*(TABLE!$C$5:$C$18&gt;=AB15),0)),"対策前")</f>
        <v>対策前</v>
      </c>
      <c r="AD15" s="28" t="s">
        <v>820</v>
      </c>
      <c r="AE15" s="20" t="s">
        <v>277</v>
      </c>
      <c r="AF15" s="20" t="s">
        <v>263</v>
      </c>
      <c r="AG15" s="19" t="s">
        <v>161</v>
      </c>
      <c r="AH15" s="41" t="s">
        <v>212</v>
      </c>
      <c r="AI15" s="42" t="s">
        <v>278</v>
      </c>
      <c r="AJ15" s="20" t="s">
        <v>126</v>
      </c>
      <c r="AK15" s="20" t="s">
        <v>175</v>
      </c>
      <c r="AL15" s="20" t="s">
        <v>175</v>
      </c>
      <c r="AM15" s="42" t="s">
        <v>199</v>
      </c>
      <c r="AN15" s="20" t="s">
        <v>279</v>
      </c>
      <c r="AO15" s="20" t="s">
        <v>280</v>
      </c>
      <c r="AP15" s="20" t="s">
        <v>281</v>
      </c>
      <c r="AQ15" s="19" t="s">
        <v>648</v>
      </c>
      <c r="AR15" s="200" t="s">
        <v>923</v>
      </c>
      <c r="AS15" s="19" t="s">
        <v>175</v>
      </c>
      <c r="AU15" s="180" t="s">
        <v>170</v>
      </c>
      <c r="AV15" s="181"/>
      <c r="AW15" s="182"/>
      <c r="AX15" s="180"/>
      <c r="AY15" s="181" t="s">
        <v>170</v>
      </c>
      <c r="AZ15" s="182"/>
      <c r="BA15" s="180"/>
      <c r="BB15" s="181"/>
      <c r="BC15" s="182"/>
    </row>
    <row r="16" spans="1:55" ht="63.65" customHeight="1" x14ac:dyDescent="0.55000000000000004">
      <c r="A16" s="198" t="s">
        <v>282</v>
      </c>
      <c r="B16" s="19" t="s">
        <v>170</v>
      </c>
      <c r="C16" s="177">
        <v>12</v>
      </c>
      <c r="D16" s="19" t="s">
        <v>136</v>
      </c>
      <c r="E16" s="19" t="s">
        <v>174</v>
      </c>
      <c r="F16" s="19" t="str">
        <f>IFERROR(VLOOKUP(E16,TABLE!$A$27:$B$48,2,FALSE),"")</f>
        <v>CR-V</v>
      </c>
      <c r="G16" s="19" t="s">
        <v>175</v>
      </c>
      <c r="H16" s="19" t="s">
        <v>191</v>
      </c>
      <c r="I16" s="19" t="s">
        <v>176</v>
      </c>
      <c r="J16" s="19" t="s">
        <v>177</v>
      </c>
      <c r="K16" s="27" t="s">
        <v>175</v>
      </c>
      <c r="L16" s="20">
        <v>1</v>
      </c>
      <c r="M16" s="27" t="s">
        <v>175</v>
      </c>
      <c r="N16" s="19" t="s">
        <v>192</v>
      </c>
      <c r="O16" s="195">
        <v>44977</v>
      </c>
      <c r="P16" s="195">
        <v>44949</v>
      </c>
      <c r="Q16" s="20" t="s">
        <v>283</v>
      </c>
      <c r="R16" s="20" t="s">
        <v>284</v>
      </c>
      <c r="S16" s="20">
        <f>IFERROR(VLOOKUP(W16,'TB 各拠点LCM搭載機種一覧 (全拠点）'!$C$12:$K$14,8,FALSE),"")</f>
        <v>1480820503</v>
      </c>
      <c r="T16" s="20" t="str">
        <f>IFERROR(VLOOKUP(W16,'TB 各拠点LCM搭載機種一覧 (全拠点）'!$C$12:$K$14,9,FALSE),"")</f>
        <v>W6250M/LIGHT CNTRL</v>
      </c>
      <c r="U16" s="20" t="s">
        <v>147</v>
      </c>
      <c r="V16" s="20" t="s">
        <v>605</v>
      </c>
      <c r="W16" s="19" t="s">
        <v>181</v>
      </c>
      <c r="X16" s="20" t="s">
        <v>285</v>
      </c>
      <c r="Y16" s="20" t="str">
        <f>IFERROR(VLOOKUP(W16,'TB 各拠点LCM搭載機種一覧 (全拠点）'!$C$12:$K$14,2,FALSE),"")</f>
        <v>33109-3A0 -A040-62</v>
      </c>
      <c r="Z16" s="20" t="str">
        <f>IFERROR(VLOOKUP(W16,'TB 各拠点LCM搭載機種一覧 (全拠点）'!$C$12:$K$14,3,FALSE),"")</f>
        <v>MEAX</v>
      </c>
      <c r="AA16" s="20" t="str">
        <f>IFERROR(VLOOKUP(W16,'TB 各拠点LCM搭載機種一覧 (全拠点）'!$C$12:$K$14,4,FALSE),"")</f>
        <v>Low</v>
      </c>
      <c r="AB16" s="193">
        <v>44917</v>
      </c>
      <c r="AC16" s="25" t="str" cm="1">
        <f t="array" aca="1" ref="AC16" ca="1">IFERROR(INDEX(TABLE!$D$5:$D$18,MATCH(1,(TABLE!$A$5:$A$18=D16)*(TABLE!$B$5:$B$18&lt;=AB16)*(TABLE!$C$5:$C$18&gt;=AB16),0)),"対策前")</f>
        <v>対策前</v>
      </c>
      <c r="AD16" s="28" t="s">
        <v>821</v>
      </c>
      <c r="AE16" s="20" t="s">
        <v>286</v>
      </c>
      <c r="AF16" s="20" t="s">
        <v>263</v>
      </c>
      <c r="AG16" s="19" t="s">
        <v>160</v>
      </c>
      <c r="AH16" s="20" t="s">
        <v>127</v>
      </c>
      <c r="AI16" s="20" t="s">
        <v>126</v>
      </c>
      <c r="AJ16" s="20" t="s">
        <v>185</v>
      </c>
      <c r="AK16" s="20" t="s">
        <v>175</v>
      </c>
      <c r="AL16" s="20" t="s">
        <v>175</v>
      </c>
      <c r="AM16" s="42" t="s">
        <v>241</v>
      </c>
      <c r="AN16" s="20" t="s">
        <v>242</v>
      </c>
      <c r="AO16" s="20" t="s">
        <v>287</v>
      </c>
      <c r="AP16" s="20" t="s">
        <v>281</v>
      </c>
      <c r="AQ16" s="19" t="s">
        <v>648</v>
      </c>
      <c r="AR16" s="200" t="s">
        <v>924</v>
      </c>
      <c r="AS16" s="19" t="s">
        <v>175</v>
      </c>
      <c r="AU16" s="180" t="s">
        <v>170</v>
      </c>
      <c r="AV16" s="181"/>
      <c r="AW16" s="182"/>
      <c r="AX16" s="180"/>
      <c r="AY16" s="181" t="s">
        <v>170</v>
      </c>
      <c r="AZ16" s="182"/>
      <c r="BA16" s="180"/>
      <c r="BB16" s="181"/>
      <c r="BC16" s="182"/>
    </row>
    <row r="17" spans="1:55" ht="63.65" customHeight="1" x14ac:dyDescent="0.55000000000000004">
      <c r="A17" s="198" t="s">
        <v>288</v>
      </c>
      <c r="B17" s="19" t="s">
        <v>170</v>
      </c>
      <c r="C17" s="19">
        <v>13</v>
      </c>
      <c r="D17" s="19" t="s">
        <v>136</v>
      </c>
      <c r="E17" s="19" t="s">
        <v>174</v>
      </c>
      <c r="F17" s="19" t="str">
        <f>IFERROR(VLOOKUP(E17,TABLE!$A$27:$B$48,2,FALSE),"")</f>
        <v>CR-V</v>
      </c>
      <c r="G17" s="19" t="s">
        <v>175</v>
      </c>
      <c r="H17" s="19" t="s">
        <v>191</v>
      </c>
      <c r="I17" s="19" t="s">
        <v>176</v>
      </c>
      <c r="J17" s="19" t="s">
        <v>177</v>
      </c>
      <c r="K17" s="20"/>
      <c r="L17" s="20">
        <v>1</v>
      </c>
      <c r="M17" s="20" t="s">
        <v>289</v>
      </c>
      <c r="N17" s="19" t="s">
        <v>290</v>
      </c>
      <c r="O17" s="194">
        <v>44986</v>
      </c>
      <c r="P17" s="194">
        <v>44953</v>
      </c>
      <c r="Q17" s="20" t="s">
        <v>291</v>
      </c>
      <c r="R17" s="20" t="s">
        <v>292</v>
      </c>
      <c r="S17" s="20">
        <f>IFERROR(VLOOKUP(W17,'TB 各拠点LCM搭載機種一覧 (全拠点）'!$C$12:$K$14,8,FALSE),"")</f>
        <v>1480820503</v>
      </c>
      <c r="T17" s="20" t="str">
        <f>IFERROR(VLOOKUP(W17,'TB 各拠点LCM搭載機種一覧 (全拠点）'!$C$12:$K$14,9,FALSE),"")</f>
        <v>W6250M/LIGHT CNTRL</v>
      </c>
      <c r="U17" s="20" t="s">
        <v>175</v>
      </c>
      <c r="V17" s="20" t="s">
        <v>605</v>
      </c>
      <c r="W17" s="19" t="s">
        <v>181</v>
      </c>
      <c r="X17" s="20" t="s">
        <v>293</v>
      </c>
      <c r="Y17" s="20" t="str">
        <f>IFERROR(VLOOKUP(W17,'TB 各拠点LCM搭載機種一覧 (全拠点）'!$C$12:$K$14,2,FALSE),"")</f>
        <v>33109-3A0 -A040-62</v>
      </c>
      <c r="Z17" s="20" t="str">
        <f>IFERROR(VLOOKUP(W17,'TB 各拠点LCM搭載機種一覧 (全拠点）'!$C$12:$K$14,3,FALSE),"")</f>
        <v>MEAX</v>
      </c>
      <c r="AA17" s="20" t="str">
        <f>IFERROR(VLOOKUP(W17,'TB 各拠点LCM搭載機種一覧 (全拠点）'!$C$12:$K$14,4,FALSE),"")</f>
        <v>Low</v>
      </c>
      <c r="AB17" s="192">
        <v>44928</v>
      </c>
      <c r="AC17" s="25" t="str" cm="1">
        <f t="array" aca="1" ref="AC17" ca="1">IFERROR(INDEX(TABLE!$D$5:$D$18,MATCH(1,(TABLE!$A$5:$A$18=D17)*(TABLE!$B$5:$B$18&lt;=AB17)*(TABLE!$C$5:$C$18&gt;=AB17),0)),"対策前")</f>
        <v>対策前</v>
      </c>
      <c r="AD17" s="28" t="s">
        <v>175</v>
      </c>
      <c r="AE17" s="20" t="s">
        <v>294</v>
      </c>
      <c r="AF17" s="20" t="s">
        <v>263</v>
      </c>
      <c r="AG17" s="19" t="s">
        <v>160</v>
      </c>
      <c r="AH17" s="20" t="s">
        <v>127</v>
      </c>
      <c r="AI17" s="29" t="s">
        <v>295</v>
      </c>
      <c r="AJ17" s="20" t="s">
        <v>126</v>
      </c>
      <c r="AK17" s="20" t="s">
        <v>175</v>
      </c>
      <c r="AL17" s="20" t="s">
        <v>175</v>
      </c>
      <c r="AM17" s="42" t="s">
        <v>199</v>
      </c>
      <c r="AN17" s="29" t="s">
        <v>296</v>
      </c>
      <c r="AO17" s="42" t="s">
        <v>297</v>
      </c>
      <c r="AP17" s="20" t="s">
        <v>298</v>
      </c>
      <c r="AQ17" s="19" t="s">
        <v>648</v>
      </c>
      <c r="AR17" s="200" t="s">
        <v>923</v>
      </c>
      <c r="AS17" s="19" t="s">
        <v>175</v>
      </c>
      <c r="AU17" s="180" t="s">
        <v>170</v>
      </c>
      <c r="AV17" s="181"/>
      <c r="AW17" s="182"/>
      <c r="AX17" s="180"/>
      <c r="AY17" s="181" t="s">
        <v>170</v>
      </c>
      <c r="AZ17" s="182"/>
      <c r="BA17" s="180"/>
      <c r="BB17" s="181"/>
      <c r="BC17" s="182"/>
    </row>
    <row r="18" spans="1:55" ht="63.65" customHeight="1" x14ac:dyDescent="0.55000000000000004">
      <c r="A18" s="198" t="s">
        <v>299</v>
      </c>
      <c r="B18" s="19" t="s">
        <v>170</v>
      </c>
      <c r="C18" s="177">
        <v>15</v>
      </c>
      <c r="D18" s="19" t="s">
        <v>136</v>
      </c>
      <c r="E18" s="19" t="s">
        <v>174</v>
      </c>
      <c r="F18" s="19" t="str">
        <f>IFERROR(VLOOKUP(E18,TABLE!$A$27:$B$48,2,FALSE),"")</f>
        <v>CR-V</v>
      </c>
      <c r="G18" s="19" t="s">
        <v>300</v>
      </c>
      <c r="H18" s="19" t="s">
        <v>191</v>
      </c>
      <c r="I18" s="19" t="s">
        <v>175</v>
      </c>
      <c r="J18" s="19" t="s">
        <v>205</v>
      </c>
      <c r="K18" s="20">
        <v>441.6</v>
      </c>
      <c r="L18" s="20">
        <v>1</v>
      </c>
      <c r="M18" s="20"/>
      <c r="N18" s="19" t="s">
        <v>290</v>
      </c>
      <c r="O18" s="195">
        <v>44949</v>
      </c>
      <c r="P18" s="195">
        <v>44869</v>
      </c>
      <c r="Q18" s="20" t="s">
        <v>301</v>
      </c>
      <c r="R18" s="20" t="s">
        <v>302</v>
      </c>
      <c r="S18" s="20" t="str">
        <f>IFERROR(VLOOKUP(W18,'TB 各拠点LCM搭載機種一覧 (全拠点）'!$C$12:$K$14,8,FALSE),"")</f>
        <v/>
      </c>
      <c r="T18" s="20" t="str">
        <f>IFERROR(VLOOKUP(W18,'TB 各拠点LCM搭載機種一覧 (全拠点）'!$C$12:$K$14,9,FALSE),"")</f>
        <v/>
      </c>
      <c r="U18" s="20" t="s">
        <v>149</v>
      </c>
      <c r="V18" s="20" t="s">
        <v>605</v>
      </c>
      <c r="W18" s="20" t="s">
        <v>303</v>
      </c>
      <c r="X18" s="20" t="s">
        <v>304</v>
      </c>
      <c r="Y18" s="20" t="str">
        <f>IFERROR(VLOOKUP(W18,'TB 各拠点LCM搭載機種一覧 (全拠点）'!$C$12:$K$14,2,FALSE),"")</f>
        <v/>
      </c>
      <c r="Z18" s="20" t="str">
        <f>IFERROR(VLOOKUP(W18,'TB 各拠点LCM搭載機種一覧 (全拠点）'!$C$12:$K$14,3,FALSE),"")</f>
        <v/>
      </c>
      <c r="AA18" s="20" t="str">
        <f>IFERROR(VLOOKUP(W18,'TB 各拠点LCM搭載機種一覧 (全拠点）'!$C$12:$K$14,4,FALSE),"")</f>
        <v/>
      </c>
      <c r="AB18" s="193">
        <v>44844</v>
      </c>
      <c r="AC18" s="25" t="str" cm="1">
        <f t="array" aca="1" ref="AC18" ca="1">IFERROR(INDEX(TABLE!$D$5:$D$18,MATCH(1,(TABLE!$A$5:$A$18=D18)*(TABLE!$B$5:$B$18&lt;=AB18)*(TABLE!$C$5:$C$18&gt;=AB18),0)),"対策前")</f>
        <v>対策前</v>
      </c>
      <c r="AD18" s="28" t="s">
        <v>649</v>
      </c>
      <c r="AE18" s="20" t="s">
        <v>305</v>
      </c>
      <c r="AF18" s="20" t="s">
        <v>263</v>
      </c>
      <c r="AG18" s="19" t="s">
        <v>308</v>
      </c>
      <c r="AH18" s="20" t="s">
        <v>126</v>
      </c>
      <c r="AI18" s="20" t="s">
        <v>126</v>
      </c>
      <c r="AJ18" s="20" t="s">
        <v>126</v>
      </c>
      <c r="AK18" s="20" t="s">
        <v>175</v>
      </c>
      <c r="AL18" s="20" t="s">
        <v>175</v>
      </c>
      <c r="AM18" s="20" t="s">
        <v>126</v>
      </c>
      <c r="AN18" s="20" t="s">
        <v>126</v>
      </c>
      <c r="AO18" s="42" t="s">
        <v>306</v>
      </c>
      <c r="AP18" s="20" t="s">
        <v>307</v>
      </c>
      <c r="AQ18" s="19" t="s">
        <v>648</v>
      </c>
      <c r="AR18" s="200" t="s">
        <v>923</v>
      </c>
      <c r="AS18" s="19" t="s">
        <v>172</v>
      </c>
      <c r="AU18" s="180" t="s">
        <v>170</v>
      </c>
      <c r="AV18" s="181"/>
      <c r="AW18" s="182"/>
      <c r="AX18" s="180"/>
      <c r="AY18" s="181" t="s">
        <v>170</v>
      </c>
      <c r="AZ18" s="182"/>
      <c r="BA18" s="180"/>
      <c r="BB18" s="181"/>
      <c r="BC18" s="182"/>
    </row>
    <row r="19" spans="1:55" ht="63.65" customHeight="1" x14ac:dyDescent="0.55000000000000004">
      <c r="A19" s="198" t="s">
        <v>309</v>
      </c>
      <c r="B19" s="19" t="s">
        <v>170</v>
      </c>
      <c r="C19" s="19">
        <v>14</v>
      </c>
      <c r="D19" s="19" t="s">
        <v>136</v>
      </c>
      <c r="E19" s="19" t="s">
        <v>174</v>
      </c>
      <c r="F19" s="19" t="str">
        <f>IFERROR(VLOOKUP(E19,TABLE!$A$27:$B$48,2,FALSE),"")</f>
        <v>CR-V</v>
      </c>
      <c r="G19" s="19" t="s">
        <v>300</v>
      </c>
      <c r="H19" s="19" t="s">
        <v>191</v>
      </c>
      <c r="I19" s="19" t="s">
        <v>176</v>
      </c>
      <c r="J19" s="19" t="s">
        <v>205</v>
      </c>
      <c r="K19" s="20">
        <v>464</v>
      </c>
      <c r="L19" s="20">
        <v>1</v>
      </c>
      <c r="M19" s="20"/>
      <c r="N19" s="19" t="s">
        <v>290</v>
      </c>
      <c r="O19" s="194">
        <v>44960</v>
      </c>
      <c r="P19" s="194">
        <v>44939</v>
      </c>
      <c r="Q19" s="20" t="s">
        <v>301</v>
      </c>
      <c r="R19" s="20" t="s">
        <v>310</v>
      </c>
      <c r="S19" s="20">
        <f>IFERROR(VLOOKUP(W19,'TB 各拠点LCM搭載機種一覧 (全拠点）'!$C$12:$K$14,8,FALSE),"")</f>
        <v>1480820503</v>
      </c>
      <c r="T19" s="20" t="str">
        <f>IFERROR(VLOOKUP(W19,'TB 各拠点LCM搭載機種一覧 (全拠点）'!$C$12:$K$14,9,FALSE),"")</f>
        <v>W6250M/LIGHT CNTRL</v>
      </c>
      <c r="U19" s="20" t="s">
        <v>149</v>
      </c>
      <c r="V19" s="20" t="s">
        <v>605</v>
      </c>
      <c r="W19" s="19" t="s">
        <v>181</v>
      </c>
      <c r="X19" s="20" t="s">
        <v>311</v>
      </c>
      <c r="Y19" s="20" t="str">
        <f>IFERROR(VLOOKUP(W19,'TB 各拠点LCM搭載機種一覧 (全拠点）'!$C$12:$K$14,2,FALSE),"")</f>
        <v>33109-3A0 -A040-62</v>
      </c>
      <c r="Z19" s="20" t="str">
        <f>IFERROR(VLOOKUP(W19,'TB 各拠点LCM搭載機種一覧 (全拠点）'!$C$12:$K$14,3,FALSE),"")</f>
        <v>MEAX</v>
      </c>
      <c r="AA19" s="20" t="str">
        <f>IFERROR(VLOOKUP(W19,'TB 各拠点LCM搭載機種一覧 (全拠点）'!$C$12:$K$14,4,FALSE),"")</f>
        <v>Low</v>
      </c>
      <c r="AB19" s="192">
        <v>44908</v>
      </c>
      <c r="AC19" s="25" t="str" cm="1">
        <f t="array" aca="1" ref="AC19" ca="1">IFERROR(INDEX(TABLE!$D$5:$D$18,MATCH(1,(TABLE!$A$5:$A$18=D19)*(TABLE!$B$5:$B$18&lt;=AB19)*(TABLE!$C$5:$C$18&gt;=AB19),0)),"対策前")</f>
        <v>対策前</v>
      </c>
      <c r="AD19" s="28" t="s">
        <v>175</v>
      </c>
      <c r="AE19" s="20" t="s">
        <v>312</v>
      </c>
      <c r="AF19" s="20" t="s">
        <v>263</v>
      </c>
      <c r="AG19" s="19" t="s">
        <v>161</v>
      </c>
      <c r="AH19" s="20" t="s">
        <v>212</v>
      </c>
      <c r="AI19" s="20" t="s">
        <v>126</v>
      </c>
      <c r="AJ19" s="42" t="s">
        <v>128</v>
      </c>
      <c r="AK19" s="20" t="s">
        <v>175</v>
      </c>
      <c r="AL19" s="20" t="s">
        <v>175</v>
      </c>
      <c r="AM19" s="20" t="s">
        <v>175</v>
      </c>
      <c r="AN19" s="29" t="s">
        <v>313</v>
      </c>
      <c r="AO19" s="42" t="s">
        <v>314</v>
      </c>
      <c r="AP19" s="20" t="s">
        <v>315</v>
      </c>
      <c r="AQ19" s="19" t="s">
        <v>648</v>
      </c>
      <c r="AR19" s="200" t="s">
        <v>923</v>
      </c>
      <c r="AS19" s="19" t="s">
        <v>172</v>
      </c>
      <c r="AU19" s="180" t="s">
        <v>170</v>
      </c>
      <c r="AV19" s="181"/>
      <c r="AW19" s="182"/>
      <c r="AX19" s="180"/>
      <c r="AY19" s="181" t="s">
        <v>170</v>
      </c>
      <c r="AZ19" s="182"/>
      <c r="BA19" s="180"/>
      <c r="BB19" s="181"/>
      <c r="BC19" s="182"/>
    </row>
    <row r="20" spans="1:55" ht="63.65" customHeight="1" x14ac:dyDescent="0.55000000000000004">
      <c r="A20" s="198" t="s">
        <v>175</v>
      </c>
      <c r="B20" s="19" t="s">
        <v>170</v>
      </c>
      <c r="C20" s="19">
        <v>23</v>
      </c>
      <c r="D20" s="19" t="s">
        <v>136</v>
      </c>
      <c r="E20" s="19" t="s">
        <v>174</v>
      </c>
      <c r="F20" s="19" t="str">
        <f>IFERROR(VLOOKUP(E20,TABLE!$A$27:$B$48,2,FALSE),"")</f>
        <v>CR-V</v>
      </c>
      <c r="G20" s="19" t="s">
        <v>175</v>
      </c>
      <c r="H20" s="19" t="s">
        <v>191</v>
      </c>
      <c r="I20" s="19" t="s">
        <v>175</v>
      </c>
      <c r="J20" s="19" t="s">
        <v>205</v>
      </c>
      <c r="K20" s="20">
        <v>627.20000000000005</v>
      </c>
      <c r="L20" s="20">
        <v>1</v>
      </c>
      <c r="M20" s="20"/>
      <c r="N20" s="19" t="s">
        <v>175</v>
      </c>
      <c r="O20" s="195">
        <v>44980</v>
      </c>
      <c r="P20" s="195">
        <v>44943</v>
      </c>
      <c r="Q20" s="20" t="s">
        <v>316</v>
      </c>
      <c r="R20" s="20" t="s">
        <v>317</v>
      </c>
      <c r="S20" s="20">
        <f>IFERROR(VLOOKUP(W20,'TB 各拠点LCM搭載機種一覧 (全拠点）'!$C$12:$K$14,8,FALSE),"")</f>
        <v>1480820503</v>
      </c>
      <c r="T20" s="20" t="str">
        <f>IFERROR(VLOOKUP(W20,'TB 各拠点LCM搭載機種一覧 (全拠点）'!$C$12:$K$14,9,FALSE),"")</f>
        <v>W6250M/LIGHT CNTRL</v>
      </c>
      <c r="U20" s="20" t="s">
        <v>175</v>
      </c>
      <c r="V20" s="20" t="s">
        <v>605</v>
      </c>
      <c r="W20" s="19" t="s">
        <v>181</v>
      </c>
      <c r="X20" s="20" t="s">
        <v>318</v>
      </c>
      <c r="Y20" s="20" t="str">
        <f>IFERROR(VLOOKUP(W20,'TB 各拠点LCM搭載機種一覧 (全拠点）'!$C$12:$K$14,2,FALSE),"")</f>
        <v>33109-3A0 -A040-62</v>
      </c>
      <c r="Z20" s="20" t="str">
        <f>IFERROR(VLOOKUP(W20,'TB 各拠点LCM搭載機種一覧 (全拠点）'!$C$12:$K$14,3,FALSE),"")</f>
        <v>MEAX</v>
      </c>
      <c r="AA20" s="20" t="str">
        <f>IFERROR(VLOOKUP(W20,'TB 各拠点LCM搭載機種一覧 (全拠点）'!$C$12:$K$14,4,FALSE),"")</f>
        <v>Low</v>
      </c>
      <c r="AB20" s="193">
        <v>44915</v>
      </c>
      <c r="AC20" s="25" t="str" cm="1">
        <f t="array" aca="1" ref="AC20" ca="1">IFERROR(INDEX(TABLE!$D$5:$D$18,MATCH(1,(TABLE!$A$5:$A$18=D20)*(TABLE!$B$5:$B$18&lt;=AB20)*(TABLE!$C$5:$C$18&gt;=AB20),0)),"対策前")</f>
        <v>対策前</v>
      </c>
      <c r="AD20" s="28" t="s">
        <v>175</v>
      </c>
      <c r="AE20" s="20" t="s">
        <v>175</v>
      </c>
      <c r="AF20" s="20" t="s">
        <v>175</v>
      </c>
      <c r="AG20" s="19" t="s">
        <v>160</v>
      </c>
      <c r="AH20" s="43" t="s">
        <v>127</v>
      </c>
      <c r="AI20" s="42" t="s">
        <v>319</v>
      </c>
      <c r="AJ20" s="43" t="s">
        <v>126</v>
      </c>
      <c r="AK20" s="20" t="s">
        <v>175</v>
      </c>
      <c r="AL20" s="20" t="s">
        <v>175</v>
      </c>
      <c r="AM20" s="42" t="s">
        <v>254</v>
      </c>
      <c r="AN20" s="42" t="s">
        <v>320</v>
      </c>
      <c r="AO20" s="29" t="s">
        <v>321</v>
      </c>
      <c r="AP20" s="20" t="s">
        <v>322</v>
      </c>
      <c r="AQ20" s="19" t="s">
        <v>648</v>
      </c>
      <c r="AR20" s="200" t="s">
        <v>924</v>
      </c>
      <c r="AS20" s="19" t="s">
        <v>172</v>
      </c>
      <c r="AU20" s="180" t="s">
        <v>170</v>
      </c>
      <c r="AV20" s="181"/>
      <c r="AW20" s="182"/>
      <c r="AX20" s="180"/>
      <c r="AY20" s="181" t="s">
        <v>170</v>
      </c>
      <c r="AZ20" s="182"/>
      <c r="BA20" s="180"/>
      <c r="BB20" s="181"/>
      <c r="BC20" s="182"/>
    </row>
    <row r="21" spans="1:55" ht="63.65" customHeight="1" x14ac:dyDescent="0.55000000000000004">
      <c r="A21" s="198" t="s">
        <v>175</v>
      </c>
      <c r="B21" s="19" t="s">
        <v>170</v>
      </c>
      <c r="C21" s="177">
        <v>19</v>
      </c>
      <c r="D21" s="19" t="s">
        <v>136</v>
      </c>
      <c r="E21" s="19" t="s">
        <v>174</v>
      </c>
      <c r="F21" s="19" t="str">
        <f>IFERROR(VLOOKUP(E21,TABLE!$A$27:$B$48,2,FALSE),"")</f>
        <v>CR-V</v>
      </c>
      <c r="G21" s="19" t="s">
        <v>175</v>
      </c>
      <c r="H21" s="19" t="s">
        <v>139</v>
      </c>
      <c r="I21" s="19" t="s">
        <v>175</v>
      </c>
      <c r="J21" s="19" t="s">
        <v>205</v>
      </c>
      <c r="K21" s="20">
        <v>240</v>
      </c>
      <c r="L21" s="20">
        <v>1</v>
      </c>
      <c r="M21" s="20"/>
      <c r="N21" s="19" t="s">
        <v>175</v>
      </c>
      <c r="O21" s="194">
        <v>45000</v>
      </c>
      <c r="P21" s="194">
        <v>44930</v>
      </c>
      <c r="Q21" s="20" t="s">
        <v>206</v>
      </c>
      <c r="R21" s="20" t="s">
        <v>323</v>
      </c>
      <c r="S21" s="20">
        <f>IFERROR(VLOOKUP(W21,'TB 各拠点LCM搭載機種一覧 (全拠点）'!$C$12:$K$14,8,FALSE),"")</f>
        <v>1480820503</v>
      </c>
      <c r="T21" s="20" t="str">
        <f>IFERROR(VLOOKUP(W21,'TB 各拠点LCM搭載機種一覧 (全拠点）'!$C$12:$K$14,9,FALSE),"")</f>
        <v>W6250M/LIGHT CNTRL</v>
      </c>
      <c r="U21" s="20" t="s">
        <v>175</v>
      </c>
      <c r="V21" s="20" t="s">
        <v>605</v>
      </c>
      <c r="W21" s="19" t="s">
        <v>181</v>
      </c>
      <c r="X21" s="20" t="s">
        <v>324</v>
      </c>
      <c r="Y21" s="20" t="str">
        <f>IFERROR(VLOOKUP(W21,'TB 各拠点LCM搭載機種一覧 (全拠点）'!$C$12:$K$14,2,FALSE),"")</f>
        <v>33109-3A0 -A040-62</v>
      </c>
      <c r="Z21" s="20" t="str">
        <f>IFERROR(VLOOKUP(W21,'TB 各拠点LCM搭載機種一覧 (全拠点）'!$C$12:$K$14,3,FALSE),"")</f>
        <v>MEAX</v>
      </c>
      <c r="AA21" s="20" t="str">
        <f>IFERROR(VLOOKUP(W21,'TB 各拠点LCM搭載機種一覧 (全拠点）'!$C$12:$K$14,4,FALSE),"")</f>
        <v>Low</v>
      </c>
      <c r="AB21" s="192">
        <v>44902</v>
      </c>
      <c r="AC21" s="25" t="str" cm="1">
        <f t="array" aca="1" ref="AC21" ca="1">IFERROR(INDEX(TABLE!$D$5:$D$18,MATCH(1,(TABLE!$A$5:$A$18=D21)*(TABLE!$B$5:$B$18&lt;=AB21)*(TABLE!$C$5:$C$18&gt;=AB21),0)),"対策前")</f>
        <v>対策前</v>
      </c>
      <c r="AD21" s="41" t="s">
        <v>822</v>
      </c>
      <c r="AE21" s="20" t="s">
        <v>175</v>
      </c>
      <c r="AF21" s="20" t="s">
        <v>175</v>
      </c>
      <c r="AG21" s="19" t="s">
        <v>161</v>
      </c>
      <c r="AH21" s="41" t="s">
        <v>212</v>
      </c>
      <c r="AI21" s="42" t="s">
        <v>319</v>
      </c>
      <c r="AJ21" s="43" t="s">
        <v>126</v>
      </c>
      <c r="AK21" s="20" t="s">
        <v>175</v>
      </c>
      <c r="AL21" s="20" t="s">
        <v>175</v>
      </c>
      <c r="AM21" s="42" t="s">
        <v>241</v>
      </c>
      <c r="AN21" s="42" t="s">
        <v>325</v>
      </c>
      <c r="AO21" s="29" t="s">
        <v>321</v>
      </c>
      <c r="AP21" s="20" t="s">
        <v>322</v>
      </c>
      <c r="AQ21" s="19" t="s">
        <v>648</v>
      </c>
      <c r="AR21" s="200" t="s">
        <v>923</v>
      </c>
      <c r="AS21" s="19" t="s">
        <v>172</v>
      </c>
      <c r="AU21" s="180" t="s">
        <v>170</v>
      </c>
      <c r="AV21" s="181"/>
      <c r="AW21" s="182"/>
      <c r="AX21" s="180"/>
      <c r="AY21" s="181" t="s">
        <v>170</v>
      </c>
      <c r="AZ21" s="182"/>
      <c r="BA21" s="180"/>
      <c r="BB21" s="181"/>
      <c r="BC21" s="182"/>
    </row>
    <row r="22" spans="1:55" ht="63.65" customHeight="1" x14ac:dyDescent="0.55000000000000004">
      <c r="A22" s="198" t="s">
        <v>175</v>
      </c>
      <c r="B22" s="19" t="s">
        <v>170</v>
      </c>
      <c r="C22" s="177">
        <v>18</v>
      </c>
      <c r="D22" s="19" t="s">
        <v>136</v>
      </c>
      <c r="E22" s="19" t="s">
        <v>174</v>
      </c>
      <c r="F22" s="19" t="str">
        <f>IFERROR(VLOOKUP(E22,TABLE!$A$27:$B$48,2,FALSE),"")</f>
        <v>CR-V</v>
      </c>
      <c r="G22" s="19" t="s">
        <v>175</v>
      </c>
      <c r="H22" s="19" t="s">
        <v>175</v>
      </c>
      <c r="I22" s="19" t="s">
        <v>175</v>
      </c>
      <c r="J22" s="19" t="s">
        <v>205</v>
      </c>
      <c r="K22" s="20">
        <v>563.20000000000005</v>
      </c>
      <c r="L22" s="20">
        <v>1</v>
      </c>
      <c r="M22" s="20"/>
      <c r="N22" s="19" t="s">
        <v>175</v>
      </c>
      <c r="O22" s="195">
        <v>45028</v>
      </c>
      <c r="P22" s="195">
        <v>44950</v>
      </c>
      <c r="Q22" s="20" t="s">
        <v>206</v>
      </c>
      <c r="R22" s="20" t="s">
        <v>326</v>
      </c>
      <c r="S22" s="20">
        <f>IFERROR(VLOOKUP(W22,'TB 各拠点LCM搭載機種一覧 (全拠点）'!$C$12:$K$14,8,FALSE),"")</f>
        <v>1480820503</v>
      </c>
      <c r="T22" s="20" t="str">
        <f>IFERROR(VLOOKUP(W22,'TB 各拠点LCM搭載機種一覧 (全拠点）'!$C$12:$K$14,9,FALSE),"")</f>
        <v>W6250M/LIGHT CNTRL</v>
      </c>
      <c r="U22" s="20" t="s">
        <v>175</v>
      </c>
      <c r="V22" s="20" t="s">
        <v>605</v>
      </c>
      <c r="W22" s="19" t="s">
        <v>181</v>
      </c>
      <c r="X22" s="20" t="s">
        <v>327</v>
      </c>
      <c r="Y22" s="20" t="str">
        <f>IFERROR(VLOOKUP(W22,'TB 各拠点LCM搭載機種一覧 (全拠点）'!$C$12:$K$14,2,FALSE),"")</f>
        <v>33109-3A0 -A040-62</v>
      </c>
      <c r="Z22" s="20" t="str">
        <f>IFERROR(VLOOKUP(W22,'TB 各拠点LCM搭載機種一覧 (全拠点）'!$C$12:$K$14,3,FALSE),"")</f>
        <v>MEAX</v>
      </c>
      <c r="AA22" s="20" t="str">
        <f>IFERROR(VLOOKUP(W22,'TB 各拠点LCM搭載機種一覧 (全拠点）'!$C$12:$K$14,4,FALSE),"")</f>
        <v>Low</v>
      </c>
      <c r="AB22" s="193">
        <v>44933</v>
      </c>
      <c r="AC22" s="25" t="str" cm="1">
        <f t="array" aca="1" ref="AC22" ca="1">IFERROR(INDEX(TABLE!$D$5:$D$18,MATCH(1,(TABLE!$A$5:$A$18=D22)*(TABLE!$B$5:$B$18&lt;=AB22)*(TABLE!$C$5:$C$18&gt;=AB22),0)),"対策前")</f>
        <v>対策前</v>
      </c>
      <c r="AD22" s="41" t="s">
        <v>823</v>
      </c>
      <c r="AE22" s="20" t="s">
        <v>175</v>
      </c>
      <c r="AF22" s="20" t="s">
        <v>175</v>
      </c>
      <c r="AG22" s="19" t="s">
        <v>329</v>
      </c>
      <c r="AH22" s="20" t="s">
        <v>126</v>
      </c>
      <c r="AI22" s="20" t="s">
        <v>126</v>
      </c>
      <c r="AJ22" s="20" t="s">
        <v>126</v>
      </c>
      <c r="AK22" s="20" t="s">
        <v>175</v>
      </c>
      <c r="AL22" s="20" t="s">
        <v>175</v>
      </c>
      <c r="AM22" s="20" t="s">
        <v>126</v>
      </c>
      <c r="AN22" s="20" t="s">
        <v>126</v>
      </c>
      <c r="AO22" s="29" t="s">
        <v>328</v>
      </c>
      <c r="AP22" s="20" t="s">
        <v>322</v>
      </c>
      <c r="AQ22" s="19" t="s">
        <v>648</v>
      </c>
      <c r="AR22" s="200" t="s">
        <v>923</v>
      </c>
      <c r="AS22" s="19" t="s">
        <v>172</v>
      </c>
      <c r="AU22" s="180" t="s">
        <v>170</v>
      </c>
      <c r="AV22" s="181"/>
      <c r="AW22" s="182"/>
      <c r="AX22" s="180"/>
      <c r="AY22" s="181" t="s">
        <v>170</v>
      </c>
      <c r="AZ22" s="182"/>
      <c r="BA22" s="180"/>
      <c r="BB22" s="181"/>
      <c r="BC22" s="182"/>
    </row>
    <row r="23" spans="1:55" ht="63.65" customHeight="1" x14ac:dyDescent="0.55000000000000004">
      <c r="A23" s="198" t="s">
        <v>175</v>
      </c>
      <c r="B23" s="19" t="s">
        <v>171</v>
      </c>
      <c r="C23" s="177">
        <v>16</v>
      </c>
      <c r="D23" s="19" t="s">
        <v>136</v>
      </c>
      <c r="E23" s="19" t="s">
        <v>174</v>
      </c>
      <c r="F23" s="19" t="str">
        <f>IFERROR(VLOOKUP(E23,TABLE!$A$27:$B$48,2,FALSE),"")</f>
        <v>CR-V</v>
      </c>
      <c r="G23" s="19" t="s">
        <v>175</v>
      </c>
      <c r="H23" s="19" t="s">
        <v>139</v>
      </c>
      <c r="I23" s="19" t="s">
        <v>176</v>
      </c>
      <c r="J23" s="19" t="s">
        <v>177</v>
      </c>
      <c r="K23" s="20"/>
      <c r="L23" s="20">
        <v>1</v>
      </c>
      <c r="M23" s="20" t="s">
        <v>126</v>
      </c>
      <c r="N23" s="19" t="s">
        <v>178</v>
      </c>
      <c r="O23" s="194">
        <v>45014</v>
      </c>
      <c r="P23" s="194">
        <v>45008</v>
      </c>
      <c r="Q23" s="20" t="s">
        <v>330</v>
      </c>
      <c r="R23" s="20" t="s">
        <v>331</v>
      </c>
      <c r="S23" s="20">
        <f>IFERROR(VLOOKUP(W23,'TB 各拠点LCM搭載機種一覧 (全拠点）'!$C$12:$K$14,8,FALSE),"")</f>
        <v>1480820503</v>
      </c>
      <c r="T23" s="20" t="str">
        <f>IFERROR(VLOOKUP(W23,'TB 各拠点LCM搭載機種一覧 (全拠点）'!$C$12:$K$14,9,FALSE),"")</f>
        <v>W6250M/LIGHT CNTRL</v>
      </c>
      <c r="U23" s="20" t="s">
        <v>332</v>
      </c>
      <c r="V23" s="20" t="s">
        <v>605</v>
      </c>
      <c r="W23" s="19" t="s">
        <v>181</v>
      </c>
      <c r="X23" s="20" t="s">
        <v>333</v>
      </c>
      <c r="Y23" s="20" t="str">
        <f>IFERROR(VLOOKUP(W23,'TB 各拠点LCM搭載機種一覧 (全拠点）'!$C$12:$K$14,2,FALSE),"")</f>
        <v>33109-3A0 -A040-62</v>
      </c>
      <c r="Z23" s="20" t="str">
        <f>IFERROR(VLOOKUP(W23,'TB 各拠点LCM搭載機種一覧 (全拠点）'!$C$12:$K$14,3,FALSE),"")</f>
        <v>MEAX</v>
      </c>
      <c r="AA23" s="20" t="str">
        <f>IFERROR(VLOOKUP(W23,'TB 各拠点LCM搭載機種一覧 (全拠点）'!$C$12:$K$14,4,FALSE),"")</f>
        <v>Low</v>
      </c>
      <c r="AB23" s="192">
        <v>44998</v>
      </c>
      <c r="AC23" s="25" t="str" cm="1">
        <f t="array" ref="AC23">IFERROR(INDEX(TABLE!$D$5:$D$18,MATCH(1,(TABLE!$A$5:$A$18=D23)*(TABLE!$B$5:$B$18&lt;=AB23)*(TABLE!$C$5:$C$18&gt;=AB23),0)),"対策前")</f>
        <v>M対策1</v>
      </c>
      <c r="AD23" s="28" t="s">
        <v>824</v>
      </c>
      <c r="AE23" s="20" t="s">
        <v>334</v>
      </c>
      <c r="AF23" s="20" t="s">
        <v>263</v>
      </c>
      <c r="AG23" s="19" t="s">
        <v>160</v>
      </c>
      <c r="AH23" s="20" t="s">
        <v>127</v>
      </c>
      <c r="AI23" s="43" t="s">
        <v>126</v>
      </c>
      <c r="AJ23" s="42" t="s">
        <v>128</v>
      </c>
      <c r="AK23" s="20" t="s">
        <v>175</v>
      </c>
      <c r="AL23" s="20" t="s">
        <v>175</v>
      </c>
      <c r="AM23" s="29" t="s">
        <v>335</v>
      </c>
      <c r="AN23" s="42" t="s">
        <v>336</v>
      </c>
      <c r="AO23" s="42" t="s">
        <v>321</v>
      </c>
      <c r="AP23" s="20" t="s">
        <v>337</v>
      </c>
      <c r="AQ23" s="19" t="s">
        <v>648</v>
      </c>
      <c r="AR23" s="200" t="s">
        <v>924</v>
      </c>
      <c r="AS23" s="19" t="s">
        <v>175</v>
      </c>
      <c r="AU23" s="180" t="s">
        <v>170</v>
      </c>
      <c r="AV23" s="181"/>
      <c r="AW23" s="182"/>
      <c r="AX23" s="180"/>
      <c r="AY23" s="181" t="s">
        <v>170</v>
      </c>
      <c r="AZ23" s="182"/>
      <c r="BA23" s="180"/>
      <c r="BB23" s="181"/>
      <c r="BC23" s="182"/>
    </row>
    <row r="24" spans="1:55" ht="63.65" customHeight="1" x14ac:dyDescent="0.55000000000000004">
      <c r="A24" s="198" t="s">
        <v>175</v>
      </c>
      <c r="B24" s="19" t="s">
        <v>170</v>
      </c>
      <c r="C24" s="19">
        <v>20</v>
      </c>
      <c r="D24" s="19" t="s">
        <v>136</v>
      </c>
      <c r="E24" s="19" t="s">
        <v>138</v>
      </c>
      <c r="F24" s="19" t="str">
        <f>IFERROR(VLOOKUP(E24,TABLE!$A$27:$B$48,2,FALSE),"")</f>
        <v>ACCORD</v>
      </c>
      <c r="G24" s="19" t="s">
        <v>175</v>
      </c>
      <c r="H24" s="19" t="s">
        <v>191</v>
      </c>
      <c r="I24" s="19" t="s">
        <v>175</v>
      </c>
      <c r="J24" s="19" t="s">
        <v>205</v>
      </c>
      <c r="K24" s="20">
        <v>265.60000000000002</v>
      </c>
      <c r="L24" s="20">
        <v>1</v>
      </c>
      <c r="M24" s="20"/>
      <c r="N24" s="19" t="s">
        <v>175</v>
      </c>
      <c r="O24" s="195">
        <v>45010</v>
      </c>
      <c r="P24" s="195">
        <v>44932</v>
      </c>
      <c r="Q24" s="20" t="s">
        <v>206</v>
      </c>
      <c r="R24" s="20" t="s">
        <v>338</v>
      </c>
      <c r="S24" s="20">
        <f>IFERROR(VLOOKUP(W24,'TB 各拠点LCM搭載機種一覧 (全拠点）'!$C$12:$K$14,8,FALSE),"")</f>
        <v>1480820503</v>
      </c>
      <c r="T24" s="20" t="str">
        <f>IFERROR(VLOOKUP(W24,'TB 各拠点LCM搭載機種一覧 (全拠点）'!$C$12:$K$14,9,FALSE),"")</f>
        <v>W6250M/LIGHT CNTRL</v>
      </c>
      <c r="U24" s="20" t="s">
        <v>175</v>
      </c>
      <c r="V24" s="20" t="s">
        <v>605</v>
      </c>
      <c r="W24" s="19" t="s">
        <v>181</v>
      </c>
      <c r="X24" s="20" t="s">
        <v>339</v>
      </c>
      <c r="Y24" s="20" t="str">
        <f>IFERROR(VLOOKUP(W24,'TB 各拠点LCM搭載機種一覧 (全拠点）'!$C$12:$K$14,2,FALSE),"")</f>
        <v>33109-3A0 -A040-62</v>
      </c>
      <c r="Z24" s="20" t="str">
        <f>IFERROR(VLOOKUP(W24,'TB 各拠点LCM搭載機種一覧 (全拠点）'!$C$12:$K$14,3,FALSE),"")</f>
        <v>MEAX</v>
      </c>
      <c r="AA24" s="20" t="str">
        <f>IFERROR(VLOOKUP(W24,'TB 各拠点LCM搭載機種一覧 (全拠点）'!$C$12:$K$14,4,FALSE),"")</f>
        <v>Low</v>
      </c>
      <c r="AB24" s="193">
        <v>44910</v>
      </c>
      <c r="AC24" s="25" t="str" cm="1">
        <f t="array" aca="1" ref="AC24" ca="1">IFERROR(INDEX(TABLE!$D$5:$D$18,MATCH(1,(TABLE!$A$5:$A$18=D24)*(TABLE!$B$5:$B$18&lt;=AB24)*(TABLE!$C$5:$C$18&gt;=AB24),0)),"対策前")</f>
        <v>対策前</v>
      </c>
      <c r="AD24" s="28" t="s">
        <v>175</v>
      </c>
      <c r="AE24" s="20" t="s">
        <v>175</v>
      </c>
      <c r="AF24" s="20" t="s">
        <v>175</v>
      </c>
      <c r="AG24" s="19" t="s">
        <v>161</v>
      </c>
      <c r="AH24" s="41" t="s">
        <v>212</v>
      </c>
      <c r="AI24" s="42" t="s">
        <v>319</v>
      </c>
      <c r="AJ24" s="43" t="s">
        <v>126</v>
      </c>
      <c r="AK24" s="20" t="s">
        <v>175</v>
      </c>
      <c r="AL24" s="20" t="s">
        <v>175</v>
      </c>
      <c r="AM24" s="42" t="s">
        <v>199</v>
      </c>
      <c r="AN24" s="42" t="s">
        <v>200</v>
      </c>
      <c r="AO24" s="29" t="s">
        <v>321</v>
      </c>
      <c r="AP24" s="20" t="s">
        <v>322</v>
      </c>
      <c r="AQ24" s="19" t="s">
        <v>648</v>
      </c>
      <c r="AR24" s="200" t="s">
        <v>923</v>
      </c>
      <c r="AS24" s="19" t="s">
        <v>172</v>
      </c>
      <c r="AU24" s="180" t="s">
        <v>170</v>
      </c>
      <c r="AV24" s="181"/>
      <c r="AW24" s="182"/>
      <c r="AX24" s="180"/>
      <c r="AY24" s="181" t="s">
        <v>170</v>
      </c>
      <c r="AZ24" s="182"/>
      <c r="BA24" s="180"/>
      <c r="BB24" s="181"/>
      <c r="BC24" s="182"/>
    </row>
    <row r="25" spans="1:55" ht="63.65" customHeight="1" x14ac:dyDescent="0.55000000000000004">
      <c r="A25" s="198" t="s">
        <v>175</v>
      </c>
      <c r="B25" s="19" t="s">
        <v>170</v>
      </c>
      <c r="C25" s="177">
        <v>17</v>
      </c>
      <c r="D25" s="19" t="s">
        <v>136</v>
      </c>
      <c r="E25" s="19" t="s">
        <v>174</v>
      </c>
      <c r="F25" s="19" t="str">
        <f>IFERROR(VLOOKUP(E25,TABLE!$A$27:$B$48,2,FALSE),"")</f>
        <v>CR-V</v>
      </c>
      <c r="G25" s="19" t="s">
        <v>175</v>
      </c>
      <c r="H25" s="19" t="s">
        <v>139</v>
      </c>
      <c r="I25" s="19" t="s">
        <v>175</v>
      </c>
      <c r="J25" s="19" t="s">
        <v>205</v>
      </c>
      <c r="K25" s="20">
        <v>944</v>
      </c>
      <c r="L25" s="20">
        <v>1</v>
      </c>
      <c r="M25" s="20"/>
      <c r="N25" s="19" t="s">
        <v>175</v>
      </c>
      <c r="O25" s="194">
        <v>45036</v>
      </c>
      <c r="P25" s="194">
        <v>44952</v>
      </c>
      <c r="Q25" s="20" t="s">
        <v>206</v>
      </c>
      <c r="R25" s="20" t="s">
        <v>340</v>
      </c>
      <c r="S25" s="20">
        <f>IFERROR(VLOOKUP(W25,'TB 各拠点LCM搭載機種一覧 (全拠点）'!$C$12:$K$14,8,FALSE),"")</f>
        <v>1480820503</v>
      </c>
      <c r="T25" s="20" t="str">
        <f>IFERROR(VLOOKUP(W25,'TB 各拠点LCM搭載機種一覧 (全拠点）'!$C$12:$K$14,9,FALSE),"")</f>
        <v>W6250M/LIGHT CNTRL</v>
      </c>
      <c r="U25" s="20" t="s">
        <v>175</v>
      </c>
      <c r="V25" s="20" t="s">
        <v>605</v>
      </c>
      <c r="W25" s="19" t="s">
        <v>181</v>
      </c>
      <c r="X25" s="20" t="s">
        <v>341</v>
      </c>
      <c r="Y25" s="20" t="str">
        <f>IFERROR(VLOOKUP(W25,'TB 各拠点LCM搭載機種一覧 (全拠点）'!$C$12:$K$14,2,FALSE),"")</f>
        <v>33109-3A0 -A040-62</v>
      </c>
      <c r="Z25" s="20" t="str">
        <f>IFERROR(VLOOKUP(W25,'TB 各拠点LCM搭載機種一覧 (全拠点）'!$C$12:$K$14,3,FALSE),"")</f>
        <v>MEAX</v>
      </c>
      <c r="AA25" s="20" t="str">
        <f>IFERROR(VLOOKUP(W25,'TB 各拠点LCM搭載機種一覧 (全拠点）'!$C$12:$K$14,4,FALSE),"")</f>
        <v>Low</v>
      </c>
      <c r="AB25" s="192">
        <v>44933</v>
      </c>
      <c r="AC25" s="25" t="str" cm="1">
        <f t="array" aca="1" ref="AC25" ca="1">IFERROR(INDEX(TABLE!$D$5:$D$18,MATCH(1,(TABLE!$A$5:$A$18=D25)*(TABLE!$B$5:$B$18&lt;=AB25)*(TABLE!$C$5:$C$18&gt;=AB25),0)),"対策前")</f>
        <v>対策前</v>
      </c>
      <c r="AD25" s="28" t="s">
        <v>342</v>
      </c>
      <c r="AE25" s="20" t="s">
        <v>175</v>
      </c>
      <c r="AF25" s="20" t="s">
        <v>175</v>
      </c>
      <c r="AG25" s="19" t="s">
        <v>160</v>
      </c>
      <c r="AH25" s="41" t="s">
        <v>212</v>
      </c>
      <c r="AI25" s="42" t="s">
        <v>319</v>
      </c>
      <c r="AJ25" s="43" t="s">
        <v>126</v>
      </c>
      <c r="AK25" s="20" t="s">
        <v>175</v>
      </c>
      <c r="AL25" s="20" t="s">
        <v>175</v>
      </c>
      <c r="AM25" s="42" t="s">
        <v>343</v>
      </c>
      <c r="AN25" s="42" t="s">
        <v>344</v>
      </c>
      <c r="AO25" s="29" t="s">
        <v>321</v>
      </c>
      <c r="AP25" s="20" t="s">
        <v>322</v>
      </c>
      <c r="AQ25" s="19" t="s">
        <v>648</v>
      </c>
      <c r="AR25" s="200" t="s">
        <v>923</v>
      </c>
      <c r="AS25" s="19" t="s">
        <v>172</v>
      </c>
      <c r="AU25" s="180" t="s">
        <v>170</v>
      </c>
      <c r="AV25" s="181"/>
      <c r="AW25" s="182"/>
      <c r="AX25" s="180"/>
      <c r="AY25" s="181" t="s">
        <v>170</v>
      </c>
      <c r="AZ25" s="182"/>
      <c r="BA25" s="180"/>
      <c r="BB25" s="181"/>
      <c r="BC25" s="182"/>
    </row>
    <row r="26" spans="1:55" ht="63.65" customHeight="1" x14ac:dyDescent="0.55000000000000004">
      <c r="A26" s="198" t="s">
        <v>175</v>
      </c>
      <c r="B26" s="19" t="s">
        <v>170</v>
      </c>
      <c r="C26" s="19">
        <v>24</v>
      </c>
      <c r="D26" s="19" t="s">
        <v>136</v>
      </c>
      <c r="E26" s="19" t="s">
        <v>174</v>
      </c>
      <c r="F26" s="19" t="str">
        <f>IFERROR(VLOOKUP(E26,TABLE!$A$27:$B$48,2,FALSE),"")</f>
        <v>CR-V</v>
      </c>
      <c r="G26" s="19" t="s">
        <v>175</v>
      </c>
      <c r="H26" s="19" t="s">
        <v>191</v>
      </c>
      <c r="I26" s="19" t="s">
        <v>175</v>
      </c>
      <c r="J26" s="19" t="s">
        <v>205</v>
      </c>
      <c r="K26" s="20">
        <v>1422.4</v>
      </c>
      <c r="L26" s="20">
        <v>1</v>
      </c>
      <c r="M26" s="20"/>
      <c r="N26" s="19" t="s">
        <v>175</v>
      </c>
      <c r="O26" s="195">
        <v>45041</v>
      </c>
      <c r="P26" s="195">
        <v>45001</v>
      </c>
      <c r="Q26" s="20" t="s">
        <v>206</v>
      </c>
      <c r="R26" s="20" t="s">
        <v>345</v>
      </c>
      <c r="S26" s="20">
        <f>IFERROR(VLOOKUP(W26,'TB 各拠点LCM搭載機種一覧 (全拠点）'!$C$12:$K$14,8,FALSE),"")</f>
        <v>1480820503</v>
      </c>
      <c r="T26" s="20" t="str">
        <f>IFERROR(VLOOKUP(W26,'TB 各拠点LCM搭載機種一覧 (全拠点）'!$C$12:$K$14,9,FALSE),"")</f>
        <v>W6250M/LIGHT CNTRL</v>
      </c>
      <c r="U26" s="20" t="s">
        <v>175</v>
      </c>
      <c r="V26" s="20" t="s">
        <v>605</v>
      </c>
      <c r="W26" s="19" t="s">
        <v>181</v>
      </c>
      <c r="X26" s="20" t="s">
        <v>346</v>
      </c>
      <c r="Y26" s="20" t="str">
        <f>IFERROR(VLOOKUP(W26,'TB 各拠点LCM搭載機種一覧 (全拠点）'!$C$12:$K$14,2,FALSE),"")</f>
        <v>33109-3A0 -A040-62</v>
      </c>
      <c r="Z26" s="20" t="str">
        <f>IFERROR(VLOOKUP(W26,'TB 各拠点LCM搭載機種一覧 (全拠点）'!$C$12:$K$14,3,FALSE),"")</f>
        <v>MEAX</v>
      </c>
      <c r="AA26" s="20" t="str">
        <f>IFERROR(VLOOKUP(W26,'TB 各拠点LCM搭載機種一覧 (全拠点）'!$C$12:$K$14,4,FALSE),"")</f>
        <v>Low</v>
      </c>
      <c r="AB26" s="193">
        <v>44994</v>
      </c>
      <c r="AC26" s="25" t="str" cm="1">
        <f t="array" ref="AC26">IFERROR(INDEX(TABLE!$D$5:$D$18,MATCH(1,(TABLE!$A$5:$A$18=D26)*(TABLE!$B$5:$B$18&lt;=AB26)*(TABLE!$C$5:$C$18&gt;=AB26),0)),"対策前")</f>
        <v>M対策1</v>
      </c>
      <c r="AD26" s="42" t="s">
        <v>175</v>
      </c>
      <c r="AE26" s="20" t="s">
        <v>175</v>
      </c>
      <c r="AF26" s="20" t="s">
        <v>175</v>
      </c>
      <c r="AG26" s="19" t="s">
        <v>161</v>
      </c>
      <c r="AH26" s="41" t="s">
        <v>212</v>
      </c>
      <c r="AI26" s="42" t="s">
        <v>319</v>
      </c>
      <c r="AJ26" s="43" t="s">
        <v>126</v>
      </c>
      <c r="AK26" s="20" t="s">
        <v>175</v>
      </c>
      <c r="AL26" s="20" t="s">
        <v>175</v>
      </c>
      <c r="AM26" s="44" t="s">
        <v>347</v>
      </c>
      <c r="AN26" s="45" t="s">
        <v>348</v>
      </c>
      <c r="AO26" s="29" t="s">
        <v>321</v>
      </c>
      <c r="AP26" s="20" t="s">
        <v>322</v>
      </c>
      <c r="AQ26" s="19" t="s">
        <v>648</v>
      </c>
      <c r="AR26" s="200" t="s">
        <v>923</v>
      </c>
      <c r="AS26" s="19" t="s">
        <v>172</v>
      </c>
      <c r="AU26" s="180" t="s">
        <v>170</v>
      </c>
      <c r="AV26" s="181"/>
      <c r="AW26" s="182"/>
      <c r="AX26" s="180"/>
      <c r="AY26" s="181" t="s">
        <v>170</v>
      </c>
      <c r="AZ26" s="182"/>
      <c r="BA26" s="180"/>
      <c r="BB26" s="181"/>
      <c r="BC26" s="182"/>
    </row>
    <row r="27" spans="1:55" ht="63.65" customHeight="1" x14ac:dyDescent="0.55000000000000004">
      <c r="A27" s="198" t="s">
        <v>175</v>
      </c>
      <c r="B27" s="19" t="s">
        <v>170</v>
      </c>
      <c r="C27" s="177">
        <v>27</v>
      </c>
      <c r="D27" s="19" t="s">
        <v>136</v>
      </c>
      <c r="E27" s="19" t="s">
        <v>174</v>
      </c>
      <c r="F27" s="19" t="str">
        <f>IFERROR(VLOOKUP(E27,TABLE!$A$27:$B$48,2,FALSE),"")</f>
        <v>CR-V</v>
      </c>
      <c r="G27" s="19" t="s">
        <v>175</v>
      </c>
      <c r="H27" s="19" t="s">
        <v>191</v>
      </c>
      <c r="I27" s="19" t="s">
        <v>175</v>
      </c>
      <c r="J27" s="19" t="s">
        <v>205</v>
      </c>
      <c r="K27" s="20">
        <v>8</v>
      </c>
      <c r="L27" s="20">
        <v>1</v>
      </c>
      <c r="M27" s="20"/>
      <c r="N27" s="19" t="s">
        <v>290</v>
      </c>
      <c r="O27" s="194">
        <v>45051</v>
      </c>
      <c r="P27" s="194">
        <v>45034</v>
      </c>
      <c r="Q27" s="20" t="s">
        <v>206</v>
      </c>
      <c r="R27" s="20" t="s">
        <v>349</v>
      </c>
      <c r="S27" s="20">
        <f>IFERROR(VLOOKUP(W27,'TB 各拠点LCM搭載機種一覧 (全拠点）'!$C$12:$K$14,8,FALSE),"")</f>
        <v>1480820503</v>
      </c>
      <c r="T27" s="20" t="str">
        <f>IFERROR(VLOOKUP(W27,'TB 各拠点LCM搭載機種一覧 (全拠点）'!$C$12:$K$14,9,FALSE),"")</f>
        <v>W6250M/LIGHT CNTRL</v>
      </c>
      <c r="U27" s="19" t="s">
        <v>129</v>
      </c>
      <c r="V27" s="20" t="s">
        <v>605</v>
      </c>
      <c r="W27" s="19" t="s">
        <v>181</v>
      </c>
      <c r="X27" s="20" t="s">
        <v>350</v>
      </c>
      <c r="Y27" s="20" t="str">
        <f>IFERROR(VLOOKUP(W27,'TB 各拠点LCM搭載機種一覧 (全拠点）'!$C$12:$K$14,2,FALSE),"")</f>
        <v>33109-3A0 -A040-62</v>
      </c>
      <c r="Z27" s="20" t="str">
        <f>IFERROR(VLOOKUP(W27,'TB 各拠点LCM搭載機種一覧 (全拠点）'!$C$12:$K$14,3,FALSE),"")</f>
        <v>MEAX</v>
      </c>
      <c r="AA27" s="20" t="str">
        <f>IFERROR(VLOOKUP(W27,'TB 各拠点LCM搭載機種一覧 (全拠点）'!$C$12:$K$14,4,FALSE),"")</f>
        <v>Low</v>
      </c>
      <c r="AB27" s="192">
        <v>45027</v>
      </c>
      <c r="AC27" s="25" t="str" cm="1">
        <f t="array" ref="AC27">IFERROR(INDEX(TABLE!$D$5:$D$18,MATCH(1,(TABLE!$A$5:$A$18=D27)*(TABLE!$B$5:$B$18&lt;=AB27)*(TABLE!$C$5:$C$18&gt;=AB27),0)),"対策前")</f>
        <v>M対策2</v>
      </c>
      <c r="AD27" s="42" t="s">
        <v>351</v>
      </c>
      <c r="AE27" s="20" t="s">
        <v>352</v>
      </c>
      <c r="AF27" s="20" t="s">
        <v>175</v>
      </c>
      <c r="AG27" s="19" t="s">
        <v>161</v>
      </c>
      <c r="AH27" s="43" t="s">
        <v>212</v>
      </c>
      <c r="AI27" s="29" t="s">
        <v>319</v>
      </c>
      <c r="AJ27" s="42" t="s">
        <v>126</v>
      </c>
      <c r="AK27" s="20" t="s">
        <v>175</v>
      </c>
      <c r="AL27" s="20" t="s">
        <v>175</v>
      </c>
      <c r="AM27" s="20" t="s">
        <v>175</v>
      </c>
      <c r="AN27" s="42" t="s">
        <v>353</v>
      </c>
      <c r="AO27" s="29" t="s">
        <v>321</v>
      </c>
      <c r="AP27" s="46" t="s">
        <v>354</v>
      </c>
      <c r="AQ27" s="19" t="s">
        <v>648</v>
      </c>
      <c r="AR27" s="200" t="s">
        <v>923</v>
      </c>
      <c r="AS27" s="19" t="s">
        <v>172</v>
      </c>
      <c r="AU27" s="180" t="s">
        <v>170</v>
      </c>
      <c r="AV27" s="181"/>
      <c r="AW27" s="182"/>
      <c r="AX27" s="180"/>
      <c r="AY27" s="181" t="s">
        <v>170</v>
      </c>
      <c r="AZ27" s="182"/>
      <c r="BA27" s="180"/>
      <c r="BB27" s="181"/>
      <c r="BC27" s="182"/>
    </row>
    <row r="28" spans="1:55" ht="63.65" customHeight="1" x14ac:dyDescent="0.55000000000000004">
      <c r="A28" s="198" t="s">
        <v>175</v>
      </c>
      <c r="B28" s="19" t="s">
        <v>170</v>
      </c>
      <c r="C28" s="177">
        <v>22</v>
      </c>
      <c r="D28" s="19" t="s">
        <v>136</v>
      </c>
      <c r="E28" s="19" t="s">
        <v>174</v>
      </c>
      <c r="F28" s="19" t="str">
        <f>IFERROR(VLOOKUP(E28,TABLE!$A$27:$B$48,2,FALSE),"")</f>
        <v>CR-V</v>
      </c>
      <c r="G28" s="19" t="s">
        <v>175</v>
      </c>
      <c r="H28" s="19" t="s">
        <v>139</v>
      </c>
      <c r="I28" s="19" t="s">
        <v>175</v>
      </c>
      <c r="J28" s="19" t="s">
        <v>205</v>
      </c>
      <c r="K28" s="20">
        <v>1.6</v>
      </c>
      <c r="L28" s="20">
        <v>1</v>
      </c>
      <c r="M28" s="20"/>
      <c r="N28" s="19" t="s">
        <v>175</v>
      </c>
      <c r="O28" s="195">
        <v>45052</v>
      </c>
      <c r="P28" s="195">
        <v>45021</v>
      </c>
      <c r="Q28" s="20" t="s">
        <v>316</v>
      </c>
      <c r="R28" s="20" t="s">
        <v>355</v>
      </c>
      <c r="S28" s="20">
        <f>IFERROR(VLOOKUP(W28,'TB 各拠点LCM搭載機種一覧 (全拠点）'!$C$12:$K$14,8,FALSE),"")</f>
        <v>1480820503</v>
      </c>
      <c r="T28" s="20" t="str">
        <f>IFERROR(VLOOKUP(W28,'TB 各拠点LCM搭載機種一覧 (全拠点）'!$C$12:$K$14,9,FALSE),"")</f>
        <v>W6250M/LIGHT CNTRL</v>
      </c>
      <c r="U28" s="20" t="s">
        <v>175</v>
      </c>
      <c r="V28" s="20" t="s">
        <v>605</v>
      </c>
      <c r="W28" s="19" t="s">
        <v>181</v>
      </c>
      <c r="X28" s="20" t="s">
        <v>356</v>
      </c>
      <c r="Y28" s="20" t="str">
        <f>IFERROR(VLOOKUP(W28,'TB 各拠点LCM搭載機種一覧 (全拠点）'!$C$12:$K$14,2,FALSE),"")</f>
        <v>33109-3A0 -A040-62</v>
      </c>
      <c r="Z28" s="20" t="str">
        <f>IFERROR(VLOOKUP(W28,'TB 各拠点LCM搭載機種一覧 (全拠点）'!$C$12:$K$14,3,FALSE),"")</f>
        <v>MEAX</v>
      </c>
      <c r="AA28" s="20" t="str">
        <f>IFERROR(VLOOKUP(W28,'TB 各拠点LCM搭載機種一覧 (全拠点）'!$C$12:$K$14,4,FALSE),"")</f>
        <v>Low</v>
      </c>
      <c r="AB28" s="193">
        <v>45007</v>
      </c>
      <c r="AC28" s="25" t="str" cm="1">
        <f t="array" ref="AC28">IFERROR(INDEX(TABLE!$D$5:$D$18,MATCH(1,(TABLE!$A$5:$A$18=D28)*(TABLE!$B$5:$B$18&lt;=AB28)*(TABLE!$C$5:$C$18&gt;=AB28),0)),"対策前")</f>
        <v>M対策2</v>
      </c>
      <c r="AD28" s="41" t="s">
        <v>125</v>
      </c>
      <c r="AE28" s="20" t="s">
        <v>175</v>
      </c>
      <c r="AF28" s="20" t="s">
        <v>175</v>
      </c>
      <c r="AG28" s="19" t="s">
        <v>160</v>
      </c>
      <c r="AH28" s="43" t="s">
        <v>127</v>
      </c>
      <c r="AI28" s="43" t="s">
        <v>126</v>
      </c>
      <c r="AJ28" s="42" t="s">
        <v>357</v>
      </c>
      <c r="AK28" s="20" t="s">
        <v>175</v>
      </c>
      <c r="AL28" s="20" t="s">
        <v>175</v>
      </c>
      <c r="AM28" s="42" t="s">
        <v>358</v>
      </c>
      <c r="AN28" s="42" t="s">
        <v>359</v>
      </c>
      <c r="AO28" s="29" t="s">
        <v>321</v>
      </c>
      <c r="AP28" s="20" t="s">
        <v>322</v>
      </c>
      <c r="AQ28" s="19" t="s">
        <v>648</v>
      </c>
      <c r="AR28" s="200" t="s">
        <v>924</v>
      </c>
      <c r="AS28" s="19" t="s">
        <v>172</v>
      </c>
      <c r="AU28" s="180" t="s">
        <v>170</v>
      </c>
      <c r="AV28" s="181"/>
      <c r="AW28" s="182"/>
      <c r="AX28" s="180"/>
      <c r="AY28" s="181" t="s">
        <v>170</v>
      </c>
      <c r="AZ28" s="182"/>
      <c r="BA28" s="180"/>
      <c r="BB28" s="181"/>
      <c r="BC28" s="182"/>
    </row>
    <row r="29" spans="1:55" ht="63.65" customHeight="1" x14ac:dyDescent="0.55000000000000004">
      <c r="A29" s="198" t="s">
        <v>175</v>
      </c>
      <c r="B29" s="19" t="s">
        <v>171</v>
      </c>
      <c r="C29" s="19">
        <v>25</v>
      </c>
      <c r="D29" s="19" t="s">
        <v>136</v>
      </c>
      <c r="E29" s="19" t="s">
        <v>138</v>
      </c>
      <c r="F29" s="19" t="str">
        <f>IFERROR(VLOOKUP(E29,TABLE!$A$27:$B$48,2,FALSE),"")</f>
        <v>ACCORD</v>
      </c>
      <c r="G29" s="19" t="s">
        <v>175</v>
      </c>
      <c r="H29" s="19" t="s">
        <v>191</v>
      </c>
      <c r="I29" s="19" t="s">
        <v>175</v>
      </c>
      <c r="J29" s="19" t="s">
        <v>220</v>
      </c>
      <c r="K29" s="20" t="s">
        <v>175</v>
      </c>
      <c r="L29" s="20">
        <v>1</v>
      </c>
      <c r="M29" s="20" t="s">
        <v>175</v>
      </c>
      <c r="N29" s="19" t="s">
        <v>175</v>
      </c>
      <c r="O29" s="194">
        <v>45093</v>
      </c>
      <c r="P29" s="194">
        <v>45093</v>
      </c>
      <c r="Q29" s="20" t="s">
        <v>360</v>
      </c>
      <c r="R29" s="20" t="s">
        <v>361</v>
      </c>
      <c r="S29" s="20" t="str">
        <f>IFERROR(VLOOKUP(W29,'TB 各拠点LCM搭載機種一覧 (全拠点）'!$C$12:$K$14,8,FALSE),"")</f>
        <v/>
      </c>
      <c r="T29" s="20" t="str">
        <f>IFERROR(VLOOKUP(W29,'TB 各拠点LCM搭載機種一覧 (全拠点）'!$C$12:$K$14,9,FALSE),"")</f>
        <v/>
      </c>
      <c r="U29" s="20" t="s">
        <v>175</v>
      </c>
      <c r="V29" s="20" t="s">
        <v>605</v>
      </c>
      <c r="W29" s="19" t="s">
        <v>362</v>
      </c>
      <c r="X29" s="20" t="s">
        <v>363</v>
      </c>
      <c r="Y29" s="20" t="str">
        <f>IFERROR(VLOOKUP(W29,'TB 各拠点LCM搭載機種一覧 (全拠点）'!$C$12:$K$14,2,FALSE),"")</f>
        <v/>
      </c>
      <c r="Z29" s="20" t="str">
        <f>IFERROR(VLOOKUP(W29,'TB 各拠点LCM搭載機種一覧 (全拠点）'!$C$12:$K$14,3,FALSE),"")</f>
        <v/>
      </c>
      <c r="AA29" s="20" t="str">
        <f>IFERROR(VLOOKUP(W29,'TB 各拠点LCM搭載機種一覧 (全拠点）'!$C$12:$K$14,4,FALSE),"")</f>
        <v/>
      </c>
      <c r="AB29" s="192">
        <v>45084</v>
      </c>
      <c r="AC29" s="25" t="str" cm="1">
        <f t="array" ref="AC29">IFERROR(INDEX(TABLE!$D$5:$D$18,MATCH(1,(TABLE!$A$5:$A$18=D29)*(TABLE!$B$5:$B$18&lt;=AB29)*(TABLE!$C$5:$C$18&gt;=AB29),0)),"対策前")</f>
        <v>M対策4</v>
      </c>
      <c r="AD29" s="20" t="s">
        <v>364</v>
      </c>
      <c r="AE29" s="20" t="s">
        <v>365</v>
      </c>
      <c r="AF29" s="20" t="s">
        <v>184</v>
      </c>
      <c r="AG29" s="19" t="s">
        <v>184</v>
      </c>
      <c r="AH29" s="20" t="s">
        <v>175</v>
      </c>
      <c r="AI29" s="20" t="s">
        <v>175</v>
      </c>
      <c r="AJ29" s="20" t="s">
        <v>175</v>
      </c>
      <c r="AK29" s="20" t="s">
        <v>175</v>
      </c>
      <c r="AL29" s="20" t="s">
        <v>175</v>
      </c>
      <c r="AM29" s="20" t="s">
        <v>175</v>
      </c>
      <c r="AN29" s="42" t="s">
        <v>175</v>
      </c>
      <c r="AO29" s="20" t="s">
        <v>366</v>
      </c>
      <c r="AP29" s="20" t="s">
        <v>367</v>
      </c>
      <c r="AQ29" s="19" t="s">
        <v>648</v>
      </c>
      <c r="AR29" s="200" t="s">
        <v>47</v>
      </c>
      <c r="AS29" s="19" t="s">
        <v>175</v>
      </c>
      <c r="AU29" s="180"/>
      <c r="AV29" s="181"/>
      <c r="AW29" s="182" t="s">
        <v>170</v>
      </c>
      <c r="AX29" s="180" t="s">
        <v>170</v>
      </c>
      <c r="AY29" s="181"/>
      <c r="AZ29" s="182"/>
      <c r="BA29" s="180"/>
      <c r="BB29" s="181"/>
      <c r="BC29" s="182"/>
    </row>
    <row r="30" spans="1:55" ht="63.65" customHeight="1" x14ac:dyDescent="0.55000000000000004">
      <c r="A30" s="198" t="s">
        <v>175</v>
      </c>
      <c r="B30" s="19" t="s">
        <v>170</v>
      </c>
      <c r="C30" s="177">
        <v>26</v>
      </c>
      <c r="D30" s="19" t="s">
        <v>136</v>
      </c>
      <c r="E30" s="19" t="s">
        <v>174</v>
      </c>
      <c r="F30" s="19" t="str">
        <f>IFERROR(VLOOKUP(E30,TABLE!$A$27:$B$48,2,FALSE),"")</f>
        <v>CR-V</v>
      </c>
      <c r="G30" s="19" t="s">
        <v>175</v>
      </c>
      <c r="H30" s="19" t="s">
        <v>191</v>
      </c>
      <c r="I30" s="19" t="s">
        <v>175</v>
      </c>
      <c r="J30" s="19" t="s">
        <v>177</v>
      </c>
      <c r="K30" s="20" t="s">
        <v>175</v>
      </c>
      <c r="L30" s="20">
        <v>1</v>
      </c>
      <c r="M30" s="20" t="s">
        <v>175</v>
      </c>
      <c r="N30" s="19" t="s">
        <v>290</v>
      </c>
      <c r="O30" s="195">
        <v>45118</v>
      </c>
      <c r="P30" s="195">
        <v>45107</v>
      </c>
      <c r="Q30" s="20" t="s">
        <v>206</v>
      </c>
      <c r="R30" s="20" t="s">
        <v>368</v>
      </c>
      <c r="S30" s="20">
        <f>IFERROR(VLOOKUP(W30,'TB 各拠点LCM搭載機種一覧 (全拠点）'!$C$12:$K$14,8,FALSE),"")</f>
        <v>1480820503</v>
      </c>
      <c r="T30" s="20" t="str">
        <f>IFERROR(VLOOKUP(W30,'TB 各拠点LCM搭載機種一覧 (全拠点）'!$C$12:$K$14,9,FALSE),"")</f>
        <v>W6250M/LIGHT CNTRL</v>
      </c>
      <c r="U30" s="20" t="s">
        <v>150</v>
      </c>
      <c r="V30" s="20" t="s">
        <v>605</v>
      </c>
      <c r="W30" s="19" t="s">
        <v>181</v>
      </c>
      <c r="X30" s="20" t="s">
        <v>369</v>
      </c>
      <c r="Y30" s="20" t="str">
        <f>IFERROR(VLOOKUP(W30,'TB 各拠点LCM搭載機種一覧 (全拠点）'!$C$12:$K$14,2,FALSE),"")</f>
        <v>33109-3A0 -A040-62</v>
      </c>
      <c r="Z30" s="20" t="str">
        <f>IFERROR(VLOOKUP(W30,'TB 各拠点LCM搭載機種一覧 (全拠点）'!$C$12:$K$14,3,FALSE),"")</f>
        <v>MEAX</v>
      </c>
      <c r="AA30" s="20" t="str">
        <f>IFERROR(VLOOKUP(W30,'TB 各拠点LCM搭載機種一覧 (全拠点）'!$C$12:$K$14,4,FALSE),"")</f>
        <v>Low</v>
      </c>
      <c r="AB30" s="193">
        <v>45101</v>
      </c>
      <c r="AC30" s="25" t="str" cm="1">
        <f t="array" ref="AC30">IFERROR(INDEX(TABLE!$D$5:$D$18,MATCH(1,(TABLE!$A$5:$A$18=D30)*(TABLE!$B$5:$B$18&lt;=AB30)*(TABLE!$C$5:$C$18&gt;=AB30),0)),"対策前")</f>
        <v>M対策4</v>
      </c>
      <c r="AD30" s="42" t="s">
        <v>370</v>
      </c>
      <c r="AE30" s="20" t="s">
        <v>371</v>
      </c>
      <c r="AF30" s="20" t="s">
        <v>184</v>
      </c>
      <c r="AG30" s="19" t="s">
        <v>161</v>
      </c>
      <c r="AH30" s="20" t="s">
        <v>212</v>
      </c>
      <c r="AI30" s="20" t="s">
        <v>126</v>
      </c>
      <c r="AJ30" s="20" t="s">
        <v>185</v>
      </c>
      <c r="AK30" s="20" t="s">
        <v>175</v>
      </c>
      <c r="AL30" s="20" t="s">
        <v>175</v>
      </c>
      <c r="AM30" s="20" t="s">
        <v>175</v>
      </c>
      <c r="AN30" s="42" t="s">
        <v>372</v>
      </c>
      <c r="AO30" s="29" t="s">
        <v>321</v>
      </c>
      <c r="AP30" s="46" t="s">
        <v>373</v>
      </c>
      <c r="AQ30" s="19" t="s">
        <v>648</v>
      </c>
      <c r="AR30" s="200" t="s">
        <v>923</v>
      </c>
      <c r="AS30" s="19" t="s">
        <v>175</v>
      </c>
      <c r="AU30" s="180" t="s">
        <v>170</v>
      </c>
      <c r="AV30" s="181"/>
      <c r="AW30" s="182"/>
      <c r="AX30" s="180"/>
      <c r="AY30" s="181" t="s">
        <v>170</v>
      </c>
      <c r="AZ30" s="182"/>
      <c r="BA30" s="180"/>
      <c r="BB30" s="181"/>
      <c r="BC30" s="182"/>
    </row>
    <row r="31" spans="1:55" ht="63.65" customHeight="1" x14ac:dyDescent="0.55000000000000004">
      <c r="A31" s="198" t="s">
        <v>175</v>
      </c>
      <c r="B31" s="19" t="s">
        <v>170</v>
      </c>
      <c r="C31" s="177">
        <v>21</v>
      </c>
      <c r="D31" s="19" t="s">
        <v>136</v>
      </c>
      <c r="E31" s="19" t="s">
        <v>174</v>
      </c>
      <c r="F31" s="19" t="str">
        <f>IFERROR(VLOOKUP(E31,TABLE!$A$27:$B$48,2,FALSE),"")</f>
        <v>CR-V</v>
      </c>
      <c r="G31" s="19" t="s">
        <v>175</v>
      </c>
      <c r="H31" s="19" t="s">
        <v>175</v>
      </c>
      <c r="I31" s="19" t="s">
        <v>175</v>
      </c>
      <c r="J31" s="19" t="s">
        <v>205</v>
      </c>
      <c r="K31" s="20">
        <v>20.8</v>
      </c>
      <c r="L31" s="20">
        <v>1</v>
      </c>
      <c r="M31" s="20"/>
      <c r="N31" s="19" t="s">
        <v>175</v>
      </c>
      <c r="O31" s="194">
        <v>45058</v>
      </c>
      <c r="P31" s="194">
        <v>45027</v>
      </c>
      <c r="Q31" s="20" t="s">
        <v>206</v>
      </c>
      <c r="R31" s="20" t="s">
        <v>606</v>
      </c>
      <c r="S31" s="20">
        <f>IFERROR(VLOOKUP(W31,'TB 各拠点LCM搭載機種一覧 (全拠点）'!$C$12:$K$14,8,FALSE),"")</f>
        <v>1480820503</v>
      </c>
      <c r="T31" s="20" t="str">
        <f>IFERROR(VLOOKUP(W31,'TB 各拠点LCM搭載機種一覧 (全拠点）'!$C$12:$K$14,9,FALSE),"")</f>
        <v>W6250M/LIGHT CNTRL</v>
      </c>
      <c r="U31" s="20" t="s">
        <v>175</v>
      </c>
      <c r="V31" s="20" t="s">
        <v>605</v>
      </c>
      <c r="W31" s="19" t="s">
        <v>181</v>
      </c>
      <c r="X31" s="20" t="s">
        <v>374</v>
      </c>
      <c r="Y31" s="20" t="str">
        <f>IFERROR(VLOOKUP(W31,'TB 各拠点LCM搭載機種一覧 (全拠点）'!$C$12:$K$14,2,FALSE),"")</f>
        <v>33109-3A0 -A040-62</v>
      </c>
      <c r="Z31" s="20" t="str">
        <f>IFERROR(VLOOKUP(W31,'TB 各拠点LCM搭載機種一覧 (全拠点）'!$C$12:$K$14,3,FALSE),"")</f>
        <v>MEAX</v>
      </c>
      <c r="AA31" s="20" t="str">
        <f>IFERROR(VLOOKUP(W31,'TB 各拠点LCM搭載機種一覧 (全拠点）'!$C$12:$K$14,4,FALSE),"")</f>
        <v>Low</v>
      </c>
      <c r="AB31" s="192">
        <v>45009</v>
      </c>
      <c r="AC31" s="25" t="str" cm="1">
        <f t="array" ref="AC31">IFERROR(INDEX(TABLE!$D$5:$D$18,MATCH(1,(TABLE!$A$5:$A$18=D31)*(TABLE!$B$5:$B$18&lt;=AB31)*(TABLE!$C$5:$C$18&gt;=AB31),0)),"対策前")</f>
        <v>M対策2</v>
      </c>
      <c r="AD31" s="41" t="s">
        <v>375</v>
      </c>
      <c r="AE31" s="20" t="s">
        <v>175</v>
      </c>
      <c r="AF31" s="20" t="s">
        <v>175</v>
      </c>
      <c r="AG31" s="19" t="s">
        <v>161</v>
      </c>
      <c r="AH31" s="41" t="s">
        <v>212</v>
      </c>
      <c r="AI31" s="42" t="s">
        <v>319</v>
      </c>
      <c r="AJ31" s="43" t="s">
        <v>126</v>
      </c>
      <c r="AK31" s="20" t="s">
        <v>175</v>
      </c>
      <c r="AL31" s="20" t="s">
        <v>175</v>
      </c>
      <c r="AM31" s="42" t="s">
        <v>376</v>
      </c>
      <c r="AN31" s="42" t="s">
        <v>377</v>
      </c>
      <c r="AO31" s="29" t="s">
        <v>321</v>
      </c>
      <c r="AP31" s="20" t="s">
        <v>322</v>
      </c>
      <c r="AQ31" s="19" t="s">
        <v>648</v>
      </c>
      <c r="AR31" s="200" t="s">
        <v>923</v>
      </c>
      <c r="AS31" s="19" t="s">
        <v>172</v>
      </c>
      <c r="AU31" s="180" t="s">
        <v>170</v>
      </c>
      <c r="AV31" s="181"/>
      <c r="AW31" s="182"/>
      <c r="AX31" s="180"/>
      <c r="AY31" s="181" t="s">
        <v>170</v>
      </c>
      <c r="AZ31" s="182"/>
      <c r="BA31" s="180"/>
      <c r="BB31" s="181"/>
      <c r="BC31" s="182"/>
    </row>
    <row r="32" spans="1:55" ht="63.65" customHeight="1" x14ac:dyDescent="0.55000000000000004">
      <c r="A32" s="198" t="s">
        <v>175</v>
      </c>
      <c r="B32" s="19" t="s">
        <v>170</v>
      </c>
      <c r="C32" s="177">
        <v>28</v>
      </c>
      <c r="D32" s="19" t="s">
        <v>136</v>
      </c>
      <c r="E32" s="19" t="s">
        <v>174</v>
      </c>
      <c r="F32" s="19" t="str">
        <f>IFERROR(VLOOKUP(E32,TABLE!$A$27:$B$48,2,FALSE),"")</f>
        <v>CR-V</v>
      </c>
      <c r="G32" s="19" t="s">
        <v>175</v>
      </c>
      <c r="H32" s="19" t="s">
        <v>191</v>
      </c>
      <c r="I32" s="19" t="s">
        <v>175</v>
      </c>
      <c r="J32" s="19" t="s">
        <v>205</v>
      </c>
      <c r="K32" s="20">
        <v>1918.4</v>
      </c>
      <c r="L32" s="20">
        <v>1</v>
      </c>
      <c r="M32" s="20"/>
      <c r="N32" s="19" t="s">
        <v>290</v>
      </c>
      <c r="O32" s="195">
        <v>45098</v>
      </c>
      <c r="P32" s="195">
        <v>45063</v>
      </c>
      <c r="Q32" s="20" t="s">
        <v>206</v>
      </c>
      <c r="R32" s="20" t="s">
        <v>378</v>
      </c>
      <c r="S32" s="20">
        <f>IFERROR(VLOOKUP(W32,'TB 各拠点LCM搭載機種一覧 (全拠点）'!$C$12:$K$14,8,FALSE),"")</f>
        <v>1480820503</v>
      </c>
      <c r="T32" s="20" t="str">
        <f>IFERROR(VLOOKUP(W32,'TB 各拠点LCM搭載機種一覧 (全拠点）'!$C$12:$K$14,9,FALSE),"")</f>
        <v>W6250M/LIGHT CNTRL</v>
      </c>
      <c r="U32" s="19" t="s">
        <v>129</v>
      </c>
      <c r="V32" s="20" t="s">
        <v>605</v>
      </c>
      <c r="W32" s="19" t="s">
        <v>181</v>
      </c>
      <c r="X32" s="20" t="s">
        <v>379</v>
      </c>
      <c r="Y32" s="20" t="str">
        <f>IFERROR(VLOOKUP(W32,'TB 各拠点LCM搭載機種一覧 (全拠点）'!$C$12:$K$14,2,FALSE),"")</f>
        <v>33109-3A0 -A040-62</v>
      </c>
      <c r="Z32" s="20" t="str">
        <f>IFERROR(VLOOKUP(W32,'TB 各拠点LCM搭載機種一覧 (全拠点）'!$C$12:$K$14,3,FALSE),"")</f>
        <v>MEAX</v>
      </c>
      <c r="AA32" s="20" t="str">
        <f>IFERROR(VLOOKUP(W32,'TB 各拠点LCM搭載機種一覧 (全拠点）'!$C$12:$K$14,4,FALSE),"")</f>
        <v>Low</v>
      </c>
      <c r="AB32" s="193">
        <v>45055</v>
      </c>
      <c r="AC32" s="25" t="str" cm="1">
        <f t="array" ref="AC32">IFERROR(INDEX(TABLE!$D$5:$D$18,MATCH(1,(TABLE!$A$5:$A$18=D32)*(TABLE!$B$5:$B$18&lt;=AB32)*(TABLE!$C$5:$C$18&gt;=AB32),0)),"対策前")</f>
        <v>M対策3</v>
      </c>
      <c r="AD32" s="42" t="s">
        <v>380</v>
      </c>
      <c r="AE32" s="20" t="s">
        <v>352</v>
      </c>
      <c r="AF32" s="20" t="s">
        <v>175</v>
      </c>
      <c r="AG32" s="19" t="s">
        <v>161</v>
      </c>
      <c r="AH32" s="43" t="s">
        <v>212</v>
      </c>
      <c r="AI32" s="29" t="s">
        <v>319</v>
      </c>
      <c r="AJ32" s="42" t="s">
        <v>126</v>
      </c>
      <c r="AK32" s="20" t="s">
        <v>175</v>
      </c>
      <c r="AL32" s="20" t="s">
        <v>175</v>
      </c>
      <c r="AM32" s="20" t="s">
        <v>175</v>
      </c>
      <c r="AN32" s="42" t="s">
        <v>381</v>
      </c>
      <c r="AO32" s="29" t="s">
        <v>321</v>
      </c>
      <c r="AP32" s="46" t="s">
        <v>354</v>
      </c>
      <c r="AQ32" s="19" t="s">
        <v>648</v>
      </c>
      <c r="AR32" s="200" t="s">
        <v>923</v>
      </c>
      <c r="AS32" s="19" t="s">
        <v>172</v>
      </c>
      <c r="AU32" s="180" t="s">
        <v>170</v>
      </c>
      <c r="AV32" s="181"/>
      <c r="AW32" s="182"/>
      <c r="AX32" s="180"/>
      <c r="AY32" s="181" t="s">
        <v>170</v>
      </c>
      <c r="AZ32" s="182"/>
      <c r="BA32" s="180"/>
      <c r="BB32" s="181"/>
      <c r="BC32" s="182"/>
    </row>
    <row r="33" spans="1:55" ht="63.65" customHeight="1" x14ac:dyDescent="0.55000000000000004">
      <c r="A33" s="198" t="s">
        <v>175</v>
      </c>
      <c r="B33" s="19" t="s">
        <v>170</v>
      </c>
      <c r="C33" s="177">
        <v>29</v>
      </c>
      <c r="D33" s="19" t="s">
        <v>136</v>
      </c>
      <c r="E33" s="19" t="s">
        <v>174</v>
      </c>
      <c r="F33" s="19" t="str">
        <f>IFERROR(VLOOKUP(E33,TABLE!$A$27:$B$48,2,FALSE),"")</f>
        <v>CR-V</v>
      </c>
      <c r="G33" s="19" t="s">
        <v>175</v>
      </c>
      <c r="H33" s="19" t="s">
        <v>191</v>
      </c>
      <c r="I33" s="19" t="s">
        <v>175</v>
      </c>
      <c r="J33" s="19" t="s">
        <v>205</v>
      </c>
      <c r="K33" s="20">
        <v>3252.8</v>
      </c>
      <c r="L33" s="20">
        <v>1</v>
      </c>
      <c r="M33" s="20"/>
      <c r="N33" s="19" t="s">
        <v>290</v>
      </c>
      <c r="O33" s="194">
        <v>45104</v>
      </c>
      <c r="P33" s="194">
        <v>45021</v>
      </c>
      <c r="Q33" s="20" t="s">
        <v>382</v>
      </c>
      <c r="R33" s="20" t="s">
        <v>383</v>
      </c>
      <c r="S33" s="20">
        <f>IFERROR(VLOOKUP(W33,'TB 各拠点LCM搭載機種一覧 (全拠点）'!$C$12:$K$14,8,FALSE),"")</f>
        <v>1480820503</v>
      </c>
      <c r="T33" s="20" t="str">
        <f>IFERROR(VLOOKUP(W33,'TB 各拠点LCM搭載機種一覧 (全拠点）'!$C$12:$K$14,9,FALSE),"")</f>
        <v>W6250M/LIGHT CNTRL</v>
      </c>
      <c r="U33" s="19" t="s">
        <v>129</v>
      </c>
      <c r="V33" s="20" t="s">
        <v>605</v>
      </c>
      <c r="W33" s="19" t="s">
        <v>181</v>
      </c>
      <c r="X33" s="20" t="s">
        <v>384</v>
      </c>
      <c r="Y33" s="20" t="str">
        <f>IFERROR(VLOOKUP(W33,'TB 各拠点LCM搭載機種一覧 (全拠点）'!$C$12:$K$14,2,FALSE),"")</f>
        <v>33109-3A0 -A040-62</v>
      </c>
      <c r="Z33" s="20" t="str">
        <f>IFERROR(VLOOKUP(W33,'TB 各拠点LCM搭載機種一覧 (全拠点）'!$C$12:$K$14,3,FALSE),"")</f>
        <v>MEAX</v>
      </c>
      <c r="AA33" s="20" t="str">
        <f>IFERROR(VLOOKUP(W33,'TB 各拠点LCM搭載機種一覧 (全拠点）'!$C$12:$K$14,4,FALSE),"")</f>
        <v>Low</v>
      </c>
      <c r="AB33" s="192">
        <v>45009</v>
      </c>
      <c r="AC33" s="25" t="str" cm="1">
        <f t="array" ref="AC33">IFERROR(INDEX(TABLE!$D$5:$D$18,MATCH(1,(TABLE!$A$5:$A$18=D33)*(TABLE!$B$5:$B$18&lt;=AB33)*(TABLE!$C$5:$C$18&gt;=AB33),0)),"対策前")</f>
        <v>M対策2</v>
      </c>
      <c r="AD33" s="42" t="s">
        <v>385</v>
      </c>
      <c r="AE33" s="20" t="s">
        <v>386</v>
      </c>
      <c r="AF33" s="20" t="s">
        <v>175</v>
      </c>
      <c r="AG33" s="19" t="s">
        <v>160</v>
      </c>
      <c r="AH33" s="43" t="s">
        <v>127</v>
      </c>
      <c r="AI33" s="29" t="s">
        <v>126</v>
      </c>
      <c r="AJ33" s="42" t="s">
        <v>128</v>
      </c>
      <c r="AK33" s="20" t="s">
        <v>175</v>
      </c>
      <c r="AL33" s="20" t="s">
        <v>175</v>
      </c>
      <c r="AM33" s="20" t="s">
        <v>175</v>
      </c>
      <c r="AN33" s="42" t="s">
        <v>387</v>
      </c>
      <c r="AO33" s="29" t="s">
        <v>321</v>
      </c>
      <c r="AP33" s="46" t="s">
        <v>354</v>
      </c>
      <c r="AQ33" s="19" t="s">
        <v>648</v>
      </c>
      <c r="AR33" s="200" t="s">
        <v>924</v>
      </c>
      <c r="AS33" s="19" t="s">
        <v>172</v>
      </c>
      <c r="AU33" s="180" t="s">
        <v>170</v>
      </c>
      <c r="AV33" s="181"/>
      <c r="AW33" s="182"/>
      <c r="AX33" s="180"/>
      <c r="AY33" s="181" t="s">
        <v>170</v>
      </c>
      <c r="AZ33" s="182"/>
      <c r="BA33" s="180"/>
      <c r="BB33" s="181"/>
      <c r="BC33" s="182"/>
    </row>
    <row r="34" spans="1:55" ht="63.65" customHeight="1" x14ac:dyDescent="0.55000000000000004">
      <c r="A34" s="198" t="s">
        <v>175</v>
      </c>
      <c r="B34" s="19" t="s">
        <v>170</v>
      </c>
      <c r="C34" s="177">
        <v>30</v>
      </c>
      <c r="D34" s="19" t="s">
        <v>136</v>
      </c>
      <c r="E34" s="19" t="s">
        <v>174</v>
      </c>
      <c r="F34" s="19" t="str">
        <f>IFERROR(VLOOKUP(E34,TABLE!$A$27:$B$48,2,FALSE),"")</f>
        <v>CR-V</v>
      </c>
      <c r="G34" s="19" t="s">
        <v>175</v>
      </c>
      <c r="H34" s="19" t="s">
        <v>191</v>
      </c>
      <c r="I34" s="19" t="s">
        <v>175</v>
      </c>
      <c r="J34" s="19" t="s">
        <v>177</v>
      </c>
      <c r="K34" s="20" t="s">
        <v>175</v>
      </c>
      <c r="L34" s="20">
        <v>1</v>
      </c>
      <c r="M34" s="20" t="s">
        <v>175</v>
      </c>
      <c r="N34" s="19" t="s">
        <v>178</v>
      </c>
      <c r="O34" s="195">
        <v>45120</v>
      </c>
      <c r="P34" s="195">
        <v>45107</v>
      </c>
      <c r="Q34" s="20" t="s">
        <v>388</v>
      </c>
      <c r="R34" s="20" t="s">
        <v>389</v>
      </c>
      <c r="S34" s="20">
        <f>IFERROR(VLOOKUP(W34,'TB 各拠点LCM搭載機種一覧 (全拠点）'!$C$12:$K$14,8,FALSE),"")</f>
        <v>1480820503</v>
      </c>
      <c r="T34" s="20" t="str">
        <f>IFERROR(VLOOKUP(W34,'TB 各拠点LCM搭載機種一覧 (全拠点）'!$C$12:$K$14,9,FALSE),"")</f>
        <v>W6250M/LIGHT CNTRL</v>
      </c>
      <c r="U34" s="20" t="s">
        <v>150</v>
      </c>
      <c r="V34" s="20" t="s">
        <v>605</v>
      </c>
      <c r="W34" s="19" t="s">
        <v>181</v>
      </c>
      <c r="X34" s="20" t="s">
        <v>390</v>
      </c>
      <c r="Y34" s="20" t="str">
        <f>IFERROR(VLOOKUP(W34,'TB 各拠点LCM搭載機種一覧 (全拠点）'!$C$12:$K$14,2,FALSE),"")</f>
        <v>33109-3A0 -A040-62</v>
      </c>
      <c r="Z34" s="20" t="str">
        <f>IFERROR(VLOOKUP(W34,'TB 各拠点LCM搭載機種一覧 (全拠点）'!$C$12:$K$14,3,FALSE),"")</f>
        <v>MEAX</v>
      </c>
      <c r="AA34" s="20" t="str">
        <f>IFERROR(VLOOKUP(W34,'TB 各拠点LCM搭載機種一覧 (全拠点）'!$C$12:$K$14,4,FALSE),"")</f>
        <v>Low</v>
      </c>
      <c r="AB34" s="193">
        <v>45101</v>
      </c>
      <c r="AC34" s="25" t="str" cm="1">
        <f t="array" ref="AC34">IFERROR(INDEX(TABLE!$D$5:$D$18,MATCH(1,(TABLE!$A$5:$A$18=D34)*(TABLE!$B$5:$B$18&lt;=AB34)*(TABLE!$C$5:$C$18&gt;=AB34),0)),"対策前")</f>
        <v>M対策4</v>
      </c>
      <c r="AD34" s="28" t="s">
        <v>825</v>
      </c>
      <c r="AE34" s="20" t="s">
        <v>391</v>
      </c>
      <c r="AF34" s="20" t="s">
        <v>184</v>
      </c>
      <c r="AG34" s="19" t="s">
        <v>161</v>
      </c>
      <c r="AH34" s="43" t="s">
        <v>212</v>
      </c>
      <c r="AI34" s="29" t="s">
        <v>319</v>
      </c>
      <c r="AJ34" s="42" t="s">
        <v>126</v>
      </c>
      <c r="AK34" s="20" t="s">
        <v>175</v>
      </c>
      <c r="AL34" s="20" t="s">
        <v>175</v>
      </c>
      <c r="AM34" s="20" t="s">
        <v>175</v>
      </c>
      <c r="AN34" s="42" t="s">
        <v>372</v>
      </c>
      <c r="AO34" s="29" t="s">
        <v>321</v>
      </c>
      <c r="AP34" s="46" t="s">
        <v>392</v>
      </c>
      <c r="AQ34" s="19" t="s">
        <v>648</v>
      </c>
      <c r="AR34" s="200" t="s">
        <v>923</v>
      </c>
      <c r="AS34" s="19" t="s">
        <v>175</v>
      </c>
      <c r="AU34" s="180" t="s">
        <v>170</v>
      </c>
      <c r="AV34" s="181"/>
      <c r="AW34" s="182"/>
      <c r="AX34" s="180"/>
      <c r="AY34" s="181" t="s">
        <v>170</v>
      </c>
      <c r="AZ34" s="182"/>
      <c r="BA34" s="180"/>
      <c r="BB34" s="181"/>
      <c r="BC34" s="182"/>
    </row>
    <row r="35" spans="1:55" ht="63.65" customHeight="1" x14ac:dyDescent="0.55000000000000004">
      <c r="A35" s="198" t="s">
        <v>175</v>
      </c>
      <c r="B35" s="19" t="s">
        <v>170</v>
      </c>
      <c r="C35" s="177">
        <v>31</v>
      </c>
      <c r="D35" s="19" t="s">
        <v>136</v>
      </c>
      <c r="E35" s="19" t="s">
        <v>138</v>
      </c>
      <c r="F35" s="19" t="str">
        <f>IFERROR(VLOOKUP(E35,TABLE!$A$27:$B$48,2,FALSE),"")</f>
        <v>ACCORD</v>
      </c>
      <c r="G35" s="19" t="s">
        <v>175</v>
      </c>
      <c r="H35" s="19" t="s">
        <v>191</v>
      </c>
      <c r="I35" s="19" t="s">
        <v>175</v>
      </c>
      <c r="J35" s="19" t="s">
        <v>177</v>
      </c>
      <c r="K35" s="20" t="s">
        <v>175</v>
      </c>
      <c r="L35" s="20">
        <v>1</v>
      </c>
      <c r="M35" s="20" t="s">
        <v>175</v>
      </c>
      <c r="N35" s="19" t="s">
        <v>140</v>
      </c>
      <c r="O35" s="194">
        <v>45139</v>
      </c>
      <c r="P35" s="194">
        <v>45135</v>
      </c>
      <c r="Q35" s="20" t="s">
        <v>388</v>
      </c>
      <c r="R35" s="20" t="s">
        <v>393</v>
      </c>
      <c r="S35" s="20">
        <f>IFERROR(VLOOKUP(W35,'TB 各拠点LCM搭載機種一覧 (全拠点）'!$C$12:$K$14,8,FALSE),"")</f>
        <v>4281316802</v>
      </c>
      <c r="T35" s="20" t="str">
        <f>IFERROR(VLOOKUP(W35,'TB 各拠点LCM搭載機種一覧 (全拠点）'!$C$12:$K$14,9,FALSE),"")</f>
        <v>W5882M/LIGHT CNTRL</v>
      </c>
      <c r="U35" s="20" t="s">
        <v>146</v>
      </c>
      <c r="V35" s="20" t="s">
        <v>605</v>
      </c>
      <c r="W35" s="19" t="s">
        <v>195</v>
      </c>
      <c r="X35" s="20" t="s">
        <v>394</v>
      </c>
      <c r="Y35" s="20" t="str">
        <f>IFERROR(VLOOKUP(W35,'TB 各拠点LCM搭載機種一覧 (全拠点）'!$C$12:$K$14,2,FALSE),"")</f>
        <v>33100-30E -H020-62</v>
      </c>
      <c r="Z35" s="20" t="str">
        <f>IFERROR(VLOOKUP(W35,'TB 各拠点LCM搭載機種一覧 (全拠点）'!$C$12:$K$14,3,FALSE),"")</f>
        <v>MEAX</v>
      </c>
      <c r="AA35" s="20" t="str">
        <f>IFERROR(VLOOKUP(W35,'TB 各拠点LCM搭載機種一覧 (全拠点）'!$C$12:$K$14,4,FALSE),"")</f>
        <v>Low</v>
      </c>
      <c r="AB35" s="192">
        <v>45128</v>
      </c>
      <c r="AC35" s="25" t="str" cm="1">
        <f t="array" ref="AC35">IFERROR(INDEX(TABLE!$D$5:$D$18,MATCH(1,(TABLE!$A$5:$A$18=D35)*(TABLE!$B$5:$B$18&lt;=AB35)*(TABLE!$C$5:$C$18&gt;=AB35),0)),"対策前")</f>
        <v>M対策4</v>
      </c>
      <c r="AD35" s="28" t="s">
        <v>826</v>
      </c>
      <c r="AE35" s="20" t="s">
        <v>391</v>
      </c>
      <c r="AF35" s="20" t="s">
        <v>184</v>
      </c>
      <c r="AG35" s="19" t="s">
        <v>161</v>
      </c>
      <c r="AH35" s="20" t="s">
        <v>212</v>
      </c>
      <c r="AI35" s="42" t="s">
        <v>395</v>
      </c>
      <c r="AJ35" s="42" t="s">
        <v>126</v>
      </c>
      <c r="AK35" s="20" t="s">
        <v>175</v>
      </c>
      <c r="AL35" s="20" t="s">
        <v>175</v>
      </c>
      <c r="AM35" s="20" t="s">
        <v>175</v>
      </c>
      <c r="AN35" s="20" t="s">
        <v>396</v>
      </c>
      <c r="AO35" s="42" t="s">
        <v>397</v>
      </c>
      <c r="AP35" s="46" t="s">
        <v>398</v>
      </c>
      <c r="AQ35" s="19" t="s">
        <v>648</v>
      </c>
      <c r="AR35" s="200" t="s">
        <v>923</v>
      </c>
      <c r="AS35" s="19" t="s">
        <v>175</v>
      </c>
      <c r="AU35" s="180" t="s">
        <v>170</v>
      </c>
      <c r="AV35" s="181"/>
      <c r="AW35" s="182"/>
      <c r="AX35" s="180"/>
      <c r="AY35" s="181" t="s">
        <v>170</v>
      </c>
      <c r="AZ35" s="182"/>
      <c r="BA35" s="180"/>
      <c r="BB35" s="181"/>
      <c r="BC35" s="182"/>
    </row>
    <row r="36" spans="1:55" ht="63.65" customHeight="1" x14ac:dyDescent="0.55000000000000004">
      <c r="A36" s="198" t="s">
        <v>175</v>
      </c>
      <c r="B36" s="19" t="s">
        <v>170</v>
      </c>
      <c r="C36" s="177">
        <v>32</v>
      </c>
      <c r="D36" s="19" t="s">
        <v>136</v>
      </c>
      <c r="E36" s="19" t="s">
        <v>138</v>
      </c>
      <c r="F36" s="19" t="str">
        <f>IFERROR(VLOOKUP(E36,TABLE!$A$27:$B$48,2,FALSE),"")</f>
        <v>ACCORD</v>
      </c>
      <c r="G36" s="19" t="s">
        <v>175</v>
      </c>
      <c r="H36" s="19" t="s">
        <v>191</v>
      </c>
      <c r="I36" s="19" t="s">
        <v>175</v>
      </c>
      <c r="J36" s="19" t="s">
        <v>177</v>
      </c>
      <c r="K36" s="20" t="s">
        <v>175</v>
      </c>
      <c r="L36" s="20">
        <v>1</v>
      </c>
      <c r="M36" s="20" t="s">
        <v>175</v>
      </c>
      <c r="N36" s="19" t="s">
        <v>140</v>
      </c>
      <c r="O36" s="195">
        <v>45140</v>
      </c>
      <c r="P36" s="195">
        <v>45138</v>
      </c>
      <c r="Q36" s="20" t="s">
        <v>388</v>
      </c>
      <c r="R36" s="20" t="s">
        <v>399</v>
      </c>
      <c r="S36" s="20">
        <f>IFERROR(VLOOKUP(W36,'TB 各拠点LCM搭載機種一覧 (全拠点）'!$C$12:$K$14,8,FALSE),"")</f>
        <v>4281316802</v>
      </c>
      <c r="T36" s="20" t="str">
        <f>IFERROR(VLOOKUP(W36,'TB 各拠点LCM搭載機種一覧 (全拠点）'!$C$12:$K$14,9,FALSE),"")</f>
        <v>W5882M/LIGHT CNTRL</v>
      </c>
      <c r="U36" s="20" t="s">
        <v>146</v>
      </c>
      <c r="V36" s="20" t="s">
        <v>605</v>
      </c>
      <c r="W36" s="19" t="s">
        <v>195</v>
      </c>
      <c r="X36" s="20" t="s">
        <v>400</v>
      </c>
      <c r="Y36" s="20" t="str">
        <f>IFERROR(VLOOKUP(W36,'TB 各拠点LCM搭載機種一覧 (全拠点）'!$C$12:$K$14,2,FALSE),"")</f>
        <v>33100-30E -H020-62</v>
      </c>
      <c r="Z36" s="20" t="str">
        <f>IFERROR(VLOOKUP(W36,'TB 各拠点LCM搭載機種一覧 (全拠点）'!$C$12:$K$14,3,FALSE),"")</f>
        <v>MEAX</v>
      </c>
      <c r="AA36" s="20" t="str">
        <f>IFERROR(VLOOKUP(W36,'TB 各拠点LCM搭載機種一覧 (全拠点）'!$C$12:$K$14,4,FALSE),"")</f>
        <v>Low</v>
      </c>
      <c r="AB36" s="193">
        <v>45128</v>
      </c>
      <c r="AC36" s="25" t="str" cm="1">
        <f t="array" ref="AC36">IFERROR(INDEX(TABLE!$D$5:$D$18,MATCH(1,(TABLE!$A$5:$A$18=D36)*(TABLE!$B$5:$B$18&lt;=AB36)*(TABLE!$C$5:$C$18&gt;=AB36),0)),"対策前")</f>
        <v>M対策4</v>
      </c>
      <c r="AD36" s="28" t="s">
        <v>827</v>
      </c>
      <c r="AE36" s="20" t="s">
        <v>391</v>
      </c>
      <c r="AF36" s="20" t="s">
        <v>184</v>
      </c>
      <c r="AG36" s="19" t="s">
        <v>161</v>
      </c>
      <c r="AH36" s="20" t="s">
        <v>212</v>
      </c>
      <c r="AI36" s="20" t="s">
        <v>401</v>
      </c>
      <c r="AJ36" s="42" t="s">
        <v>126</v>
      </c>
      <c r="AK36" s="20" t="s">
        <v>175</v>
      </c>
      <c r="AL36" s="20" t="s">
        <v>175</v>
      </c>
      <c r="AM36" s="20" t="s">
        <v>175</v>
      </c>
      <c r="AN36" s="20" t="s">
        <v>402</v>
      </c>
      <c r="AO36" s="19" t="s">
        <v>151</v>
      </c>
      <c r="AP36" s="46" t="s">
        <v>403</v>
      </c>
      <c r="AQ36" s="19" t="s">
        <v>648</v>
      </c>
      <c r="AR36" s="200" t="s">
        <v>923</v>
      </c>
      <c r="AS36" s="19" t="s">
        <v>175</v>
      </c>
      <c r="AU36" s="180" t="s">
        <v>170</v>
      </c>
      <c r="AV36" s="181"/>
      <c r="AW36" s="182"/>
      <c r="AX36" s="180"/>
      <c r="AY36" s="181" t="s">
        <v>170</v>
      </c>
      <c r="AZ36" s="182"/>
      <c r="BA36" s="180"/>
      <c r="BB36" s="181"/>
      <c r="BC36" s="182"/>
    </row>
    <row r="37" spans="1:55" ht="63.65" customHeight="1" x14ac:dyDescent="0.55000000000000004">
      <c r="A37" s="198" t="s">
        <v>175</v>
      </c>
      <c r="B37" s="19" t="s">
        <v>404</v>
      </c>
      <c r="C37" s="177">
        <v>33</v>
      </c>
      <c r="D37" s="19" t="s">
        <v>136</v>
      </c>
      <c r="E37" s="19" t="s">
        <v>174</v>
      </c>
      <c r="F37" s="19" t="str">
        <f>IFERROR(VLOOKUP(E37,TABLE!$A$27:$B$48,2,FALSE),"")</f>
        <v>CR-V</v>
      </c>
      <c r="G37" s="19" t="s">
        <v>175</v>
      </c>
      <c r="H37" s="19" t="s">
        <v>139</v>
      </c>
      <c r="I37" s="19" t="s">
        <v>175</v>
      </c>
      <c r="J37" s="19" t="s">
        <v>177</v>
      </c>
      <c r="K37" s="20" t="s">
        <v>175</v>
      </c>
      <c r="L37" s="20">
        <v>1</v>
      </c>
      <c r="M37" s="20" t="s">
        <v>175</v>
      </c>
      <c r="N37" s="19" t="s">
        <v>192</v>
      </c>
      <c r="O37" s="194">
        <v>45142</v>
      </c>
      <c r="P37" s="194">
        <v>45135</v>
      </c>
      <c r="Q37" s="20" t="s">
        <v>388</v>
      </c>
      <c r="R37" s="20" t="s">
        <v>405</v>
      </c>
      <c r="S37" s="20">
        <f>IFERROR(VLOOKUP(W37,'TB 各拠点LCM搭載機種一覧 (全拠点）'!$C$12:$K$14,8,FALSE),"")</f>
        <v>1480820503</v>
      </c>
      <c r="T37" s="20" t="str">
        <f>IFERROR(VLOOKUP(W37,'TB 各拠点LCM搭載機種一覧 (全拠点）'!$C$12:$K$14,9,FALSE),"")</f>
        <v>W6250M/LIGHT CNTRL</v>
      </c>
      <c r="U37" s="20" t="s">
        <v>145</v>
      </c>
      <c r="V37" s="20" t="s">
        <v>605</v>
      </c>
      <c r="W37" s="19" t="s">
        <v>181</v>
      </c>
      <c r="X37" s="20" t="s">
        <v>406</v>
      </c>
      <c r="Y37" s="20" t="str">
        <f>IFERROR(VLOOKUP(W37,'TB 各拠点LCM搭載機種一覧 (全拠点）'!$C$12:$K$14,2,FALSE),"")</f>
        <v>33109-3A0 -A040-62</v>
      </c>
      <c r="Z37" s="20" t="str">
        <f>IFERROR(VLOOKUP(W37,'TB 各拠点LCM搭載機種一覧 (全拠点）'!$C$12:$K$14,3,FALSE),"")</f>
        <v>MEAX</v>
      </c>
      <c r="AA37" s="20" t="str">
        <f>IFERROR(VLOOKUP(W37,'TB 各拠点LCM搭載機種一覧 (全拠点）'!$C$12:$K$14,4,FALSE),"")</f>
        <v>Low</v>
      </c>
      <c r="AB37" s="192">
        <v>45129</v>
      </c>
      <c r="AC37" s="25" t="str" cm="1">
        <f t="array" ref="AC37">IFERROR(INDEX(TABLE!$D$5:$D$18,MATCH(1,(TABLE!$A$5:$A$18=D37)*(TABLE!$B$5:$B$18&lt;=AB37)*(TABLE!$C$5:$C$18&gt;=AB37),0)),"対策前")</f>
        <v>M対策4</v>
      </c>
      <c r="AD37" s="28" t="s">
        <v>407</v>
      </c>
      <c r="AE37" s="20" t="s">
        <v>391</v>
      </c>
      <c r="AF37" s="20" t="s">
        <v>184</v>
      </c>
      <c r="AG37" s="19" t="s">
        <v>161</v>
      </c>
      <c r="AH37" s="20" t="s">
        <v>212</v>
      </c>
      <c r="AI37" s="20" t="s">
        <v>408</v>
      </c>
      <c r="AJ37" s="20" t="s">
        <v>409</v>
      </c>
      <c r="AK37" s="20" t="s">
        <v>175</v>
      </c>
      <c r="AL37" s="20" t="s">
        <v>175</v>
      </c>
      <c r="AM37" s="20" t="s">
        <v>175</v>
      </c>
      <c r="AN37" s="20" t="s">
        <v>402</v>
      </c>
      <c r="AO37" s="20" t="s">
        <v>410</v>
      </c>
      <c r="AP37" s="46" t="s">
        <v>411</v>
      </c>
      <c r="AQ37" s="19" t="s">
        <v>648</v>
      </c>
      <c r="AR37" s="200" t="s">
        <v>923</v>
      </c>
      <c r="AS37" s="19" t="s">
        <v>175</v>
      </c>
      <c r="AU37" s="180" t="s">
        <v>170</v>
      </c>
      <c r="AV37" s="181"/>
      <c r="AW37" s="182"/>
      <c r="AX37" s="180"/>
      <c r="AY37" s="181" t="s">
        <v>170</v>
      </c>
      <c r="AZ37" s="182"/>
      <c r="BA37" s="180"/>
      <c r="BB37" s="181"/>
      <c r="BC37" s="182"/>
    </row>
    <row r="38" spans="1:55" ht="63.65" customHeight="1" x14ac:dyDescent="0.55000000000000004">
      <c r="A38" s="198" t="s">
        <v>175</v>
      </c>
      <c r="B38" s="19" t="s">
        <v>171</v>
      </c>
      <c r="C38" s="177">
        <v>34</v>
      </c>
      <c r="D38" s="19" t="s">
        <v>136</v>
      </c>
      <c r="E38" s="19" t="s">
        <v>174</v>
      </c>
      <c r="F38" s="19" t="str">
        <f>IFERROR(VLOOKUP(E38,TABLE!$A$27:$B$48,2,FALSE),"")</f>
        <v>CR-V</v>
      </c>
      <c r="G38" s="19" t="s">
        <v>175</v>
      </c>
      <c r="H38" s="19" t="s">
        <v>191</v>
      </c>
      <c r="I38" s="19" t="s">
        <v>175</v>
      </c>
      <c r="J38" s="19" t="s">
        <v>177</v>
      </c>
      <c r="K38" s="20" t="s">
        <v>175</v>
      </c>
      <c r="L38" s="20">
        <v>1</v>
      </c>
      <c r="M38" s="20" t="s">
        <v>175</v>
      </c>
      <c r="N38" s="19" t="s">
        <v>178</v>
      </c>
      <c r="O38" s="195">
        <v>45160</v>
      </c>
      <c r="P38" s="195">
        <v>45090</v>
      </c>
      <c r="Q38" s="20" t="s">
        <v>206</v>
      </c>
      <c r="R38" s="20" t="s">
        <v>412</v>
      </c>
      <c r="S38" s="20">
        <f>IFERROR(VLOOKUP(W38,'TB 各拠点LCM搭載機種一覧 (全拠点）'!$C$12:$K$14,8,FALSE),"")</f>
        <v>1480820503</v>
      </c>
      <c r="T38" s="20" t="str">
        <f>IFERROR(VLOOKUP(W38,'TB 各拠点LCM搭載機種一覧 (全拠点）'!$C$12:$K$14,9,FALSE),"")</f>
        <v>W6250M/LIGHT CNTRL</v>
      </c>
      <c r="U38" s="20" t="s">
        <v>413</v>
      </c>
      <c r="V38" s="20" t="s">
        <v>605</v>
      </c>
      <c r="W38" s="19" t="s">
        <v>181</v>
      </c>
      <c r="X38" s="20" t="s">
        <v>414</v>
      </c>
      <c r="Y38" s="20" t="str">
        <f>IFERROR(VLOOKUP(W38,'TB 各拠点LCM搭載機種一覧 (全拠点）'!$C$12:$K$14,2,FALSE),"")</f>
        <v>33109-3A0 -A040-62</v>
      </c>
      <c r="Z38" s="20" t="str">
        <f>IFERROR(VLOOKUP(W38,'TB 各拠点LCM搭載機種一覧 (全拠点）'!$C$12:$K$14,3,FALSE),"")</f>
        <v>MEAX</v>
      </c>
      <c r="AA38" s="20" t="str">
        <f>IFERROR(VLOOKUP(W38,'TB 各拠点LCM搭載機種一覧 (全拠点）'!$C$12:$K$14,4,FALSE),"")</f>
        <v>Low</v>
      </c>
      <c r="AB38" s="193">
        <v>45085</v>
      </c>
      <c r="AC38" s="25" t="str" cm="1">
        <f t="array" ref="AC38">IFERROR(INDEX(TABLE!$D$5:$D$18,MATCH(1,(TABLE!$A$5:$A$18=D38)*(TABLE!$B$5:$B$18&lt;=AB38)*(TABLE!$C$5:$C$18&gt;=AB38),0)),"対策前")</f>
        <v>M対策4</v>
      </c>
      <c r="AD38" s="28" t="s">
        <v>828</v>
      </c>
      <c r="AE38" s="20" t="s">
        <v>391</v>
      </c>
      <c r="AF38" s="20" t="s">
        <v>184</v>
      </c>
      <c r="AG38" s="19" t="s">
        <v>161</v>
      </c>
      <c r="AH38" s="20" t="s">
        <v>212</v>
      </c>
      <c r="AI38" s="20" t="s">
        <v>126</v>
      </c>
      <c r="AJ38" s="20" t="s">
        <v>409</v>
      </c>
      <c r="AK38" s="20" t="s">
        <v>175</v>
      </c>
      <c r="AL38" s="20" t="s">
        <v>175</v>
      </c>
      <c r="AM38" s="20" t="s">
        <v>175</v>
      </c>
      <c r="AN38" s="20" t="s">
        <v>415</v>
      </c>
      <c r="AO38" s="42" t="s">
        <v>416</v>
      </c>
      <c r="AP38" s="46" t="s">
        <v>417</v>
      </c>
      <c r="AQ38" s="19" t="s">
        <v>648</v>
      </c>
      <c r="AR38" s="200" t="s">
        <v>923</v>
      </c>
      <c r="AS38" s="19" t="s">
        <v>175</v>
      </c>
      <c r="AU38" s="180" t="s">
        <v>170</v>
      </c>
      <c r="AV38" s="181"/>
      <c r="AW38" s="182"/>
      <c r="AX38" s="180"/>
      <c r="AY38" s="181" t="s">
        <v>170</v>
      </c>
      <c r="AZ38" s="182"/>
      <c r="BA38" s="180"/>
      <c r="BB38" s="181"/>
      <c r="BC38" s="182"/>
    </row>
    <row r="39" spans="1:55" ht="63.65" customHeight="1" x14ac:dyDescent="0.55000000000000004">
      <c r="A39" s="198" t="s">
        <v>175</v>
      </c>
      <c r="B39" s="19" t="s">
        <v>404</v>
      </c>
      <c r="C39" s="177">
        <v>35</v>
      </c>
      <c r="D39" s="19" t="s">
        <v>136</v>
      </c>
      <c r="E39" s="19" t="s">
        <v>138</v>
      </c>
      <c r="F39" s="19" t="str">
        <f>IFERROR(VLOOKUP(E39,TABLE!$A$27:$B$48,2,FALSE),"")</f>
        <v>ACCORD</v>
      </c>
      <c r="G39" s="19" t="s">
        <v>175</v>
      </c>
      <c r="H39" s="19" t="s">
        <v>191</v>
      </c>
      <c r="I39" s="19" t="s">
        <v>175</v>
      </c>
      <c r="J39" s="19" t="s">
        <v>177</v>
      </c>
      <c r="K39" s="20" t="s">
        <v>175</v>
      </c>
      <c r="L39" s="20">
        <v>1</v>
      </c>
      <c r="M39" s="20" t="s">
        <v>175</v>
      </c>
      <c r="N39" s="19" t="s">
        <v>140</v>
      </c>
      <c r="O39" s="194">
        <v>45168</v>
      </c>
      <c r="P39" s="194">
        <v>45162</v>
      </c>
      <c r="Q39" s="20" t="s">
        <v>206</v>
      </c>
      <c r="R39" s="20" t="s">
        <v>393</v>
      </c>
      <c r="S39" s="20">
        <f>IFERROR(VLOOKUP(W39,'TB 各拠点LCM搭載機種一覧 (全拠点）'!$C$12:$K$14,8,FALSE),"")</f>
        <v>4281316802</v>
      </c>
      <c r="T39" s="20" t="str">
        <f>IFERROR(VLOOKUP(W39,'TB 各拠点LCM搭載機種一覧 (全拠点）'!$C$12:$K$14,9,FALSE),"")</f>
        <v>W5882M/LIGHT CNTRL</v>
      </c>
      <c r="U39" s="20" t="s">
        <v>146</v>
      </c>
      <c r="V39" s="20" t="s">
        <v>605</v>
      </c>
      <c r="W39" s="19" t="s">
        <v>195</v>
      </c>
      <c r="X39" s="20" t="s">
        <v>418</v>
      </c>
      <c r="Y39" s="20" t="str">
        <f>IFERROR(VLOOKUP(W39,'TB 各拠点LCM搭載機種一覧 (全拠点）'!$C$12:$K$14,2,FALSE),"")</f>
        <v>33100-30E -H020-62</v>
      </c>
      <c r="Z39" s="20" t="str">
        <f>IFERROR(VLOOKUP(W39,'TB 各拠点LCM搭載機種一覧 (全拠点）'!$C$12:$K$14,3,FALSE),"")</f>
        <v>MEAX</v>
      </c>
      <c r="AA39" s="20" t="str">
        <f>IFERROR(VLOOKUP(W39,'TB 各拠点LCM搭載機種一覧 (全拠点）'!$C$12:$K$14,4,FALSE),"")</f>
        <v>Low</v>
      </c>
      <c r="AB39" s="192">
        <v>45140</v>
      </c>
      <c r="AC39" s="25" t="str" cm="1">
        <f t="array" ref="AC39">IFERROR(INDEX(TABLE!$D$5:$D$18,MATCH(1,(TABLE!$A$5:$A$18=D39)*(TABLE!$B$5:$B$18&lt;=AB39)*(TABLE!$C$5:$C$18&gt;=AB39),0)),"対策前")</f>
        <v>M対策5</v>
      </c>
      <c r="AD39" s="28" t="s">
        <v>829</v>
      </c>
      <c r="AE39" s="20" t="s">
        <v>391</v>
      </c>
      <c r="AF39" s="20" t="s">
        <v>184</v>
      </c>
      <c r="AG39" s="19" t="s">
        <v>161</v>
      </c>
      <c r="AH39" s="20" t="s">
        <v>212</v>
      </c>
      <c r="AI39" s="20" t="s">
        <v>126</v>
      </c>
      <c r="AJ39" s="20" t="s">
        <v>419</v>
      </c>
      <c r="AK39" s="20" t="s">
        <v>175</v>
      </c>
      <c r="AL39" s="20" t="s">
        <v>175</v>
      </c>
      <c r="AM39" s="20" t="s">
        <v>175</v>
      </c>
      <c r="AN39" s="20" t="s">
        <v>420</v>
      </c>
      <c r="AO39" s="42" t="s">
        <v>421</v>
      </c>
      <c r="AP39" s="46" t="s">
        <v>422</v>
      </c>
      <c r="AQ39" s="19" t="s">
        <v>648</v>
      </c>
      <c r="AR39" s="200" t="s">
        <v>923</v>
      </c>
      <c r="AS39" s="19" t="s">
        <v>175</v>
      </c>
      <c r="AU39" s="180" t="s">
        <v>170</v>
      </c>
      <c r="AV39" s="181"/>
      <c r="AW39" s="182"/>
      <c r="AX39" s="180"/>
      <c r="AY39" s="181" t="s">
        <v>170</v>
      </c>
      <c r="AZ39" s="182"/>
      <c r="BA39" s="180"/>
      <c r="BB39" s="181"/>
      <c r="BC39" s="182"/>
    </row>
    <row r="40" spans="1:55" ht="63.65" customHeight="1" x14ac:dyDescent="0.55000000000000004">
      <c r="A40" s="198" t="s">
        <v>175</v>
      </c>
      <c r="B40" s="19" t="s">
        <v>404</v>
      </c>
      <c r="C40" s="177">
        <v>36</v>
      </c>
      <c r="D40" s="19" t="s">
        <v>136</v>
      </c>
      <c r="E40" s="19" t="s">
        <v>174</v>
      </c>
      <c r="F40" s="19" t="str">
        <f>IFERROR(VLOOKUP(E40,TABLE!$A$27:$B$48,2,FALSE),"")</f>
        <v>CR-V</v>
      </c>
      <c r="G40" s="19" t="s">
        <v>175</v>
      </c>
      <c r="H40" s="19" t="s">
        <v>139</v>
      </c>
      <c r="I40" s="19" t="s">
        <v>175</v>
      </c>
      <c r="J40" s="19" t="s">
        <v>205</v>
      </c>
      <c r="K40" s="20">
        <v>6630.4000000000005</v>
      </c>
      <c r="L40" s="20">
        <v>1</v>
      </c>
      <c r="M40" s="20"/>
      <c r="N40" s="19" t="s">
        <v>423</v>
      </c>
      <c r="O40" s="195">
        <v>45131</v>
      </c>
      <c r="P40" s="195">
        <v>44987</v>
      </c>
      <c r="Q40" s="20" t="s">
        <v>206</v>
      </c>
      <c r="R40" s="20" t="s">
        <v>424</v>
      </c>
      <c r="S40" s="20">
        <f>IFERROR(VLOOKUP(W40,'TB 各拠点LCM搭載機種一覧 (全拠点）'!$C$12:$K$14,8,FALSE),"")</f>
        <v>1480820503</v>
      </c>
      <c r="T40" s="20" t="str">
        <f>IFERROR(VLOOKUP(W40,'TB 各拠点LCM搭載機種一覧 (全拠点）'!$C$12:$K$14,9,FALSE),"")</f>
        <v>W6250M/LIGHT CNTRL</v>
      </c>
      <c r="U40" s="20" t="s">
        <v>425</v>
      </c>
      <c r="V40" s="20" t="s">
        <v>605</v>
      </c>
      <c r="W40" s="19" t="s">
        <v>181</v>
      </c>
      <c r="X40" s="20" t="s">
        <v>426</v>
      </c>
      <c r="Y40" s="20" t="str">
        <f>IFERROR(VLOOKUP(W40,'TB 各拠点LCM搭載機種一覧 (全拠点）'!$C$12:$K$14,2,FALSE),"")</f>
        <v>33109-3A0 -A040-62</v>
      </c>
      <c r="Z40" s="20" t="str">
        <f>IFERROR(VLOOKUP(W40,'TB 各拠点LCM搭載機種一覧 (全拠点）'!$C$12:$K$14,3,FALSE),"")</f>
        <v>MEAX</v>
      </c>
      <c r="AA40" s="20" t="str">
        <f>IFERROR(VLOOKUP(W40,'TB 各拠点LCM搭載機種一覧 (全拠点）'!$C$12:$K$14,4,FALSE),"")</f>
        <v>Low</v>
      </c>
      <c r="AB40" s="193">
        <v>44979</v>
      </c>
      <c r="AC40" s="25" t="str" cm="1">
        <f t="array" ref="AC40">IFERROR(INDEX(TABLE!$D$5:$D$18,MATCH(1,(TABLE!$A$5:$A$18=D40)*(TABLE!$B$5:$B$18&lt;=AB40)*(TABLE!$C$5:$C$18&gt;=AB40),0)),"対策前")</f>
        <v>M対策1</v>
      </c>
      <c r="AD40" s="28" t="s">
        <v>830</v>
      </c>
      <c r="AE40" s="20" t="s">
        <v>391</v>
      </c>
      <c r="AF40" s="20" t="s">
        <v>184</v>
      </c>
      <c r="AG40" s="19" t="s">
        <v>161</v>
      </c>
      <c r="AH40" s="20" t="s">
        <v>212</v>
      </c>
      <c r="AI40" s="20" t="s">
        <v>126</v>
      </c>
      <c r="AJ40" s="20" t="s">
        <v>419</v>
      </c>
      <c r="AK40" s="20" t="s">
        <v>175</v>
      </c>
      <c r="AL40" s="20" t="s">
        <v>175</v>
      </c>
      <c r="AM40" s="20" t="s">
        <v>175</v>
      </c>
      <c r="AN40" s="20" t="s">
        <v>427</v>
      </c>
      <c r="AO40" s="42" t="s">
        <v>421</v>
      </c>
      <c r="AP40" s="46" t="s">
        <v>428</v>
      </c>
      <c r="AQ40" s="19" t="s">
        <v>648</v>
      </c>
      <c r="AR40" s="200" t="s">
        <v>923</v>
      </c>
      <c r="AS40" s="19" t="s">
        <v>172</v>
      </c>
      <c r="AU40" s="180" t="s">
        <v>170</v>
      </c>
      <c r="AV40" s="181"/>
      <c r="AW40" s="182"/>
      <c r="AX40" s="180"/>
      <c r="AY40" s="181" t="s">
        <v>170</v>
      </c>
      <c r="AZ40" s="182"/>
      <c r="BA40" s="180"/>
      <c r="BB40" s="181"/>
      <c r="BC40" s="182"/>
    </row>
    <row r="41" spans="1:55" ht="63.65" customHeight="1" x14ac:dyDescent="0.55000000000000004">
      <c r="A41" s="198" t="s">
        <v>175</v>
      </c>
      <c r="B41" s="19" t="s">
        <v>404</v>
      </c>
      <c r="C41" s="177">
        <v>37</v>
      </c>
      <c r="D41" s="19" t="s">
        <v>136</v>
      </c>
      <c r="E41" s="19" t="s">
        <v>138</v>
      </c>
      <c r="F41" s="19" t="str">
        <f>IFERROR(VLOOKUP(E41,TABLE!$A$27:$B$48,2,FALSE),"")</f>
        <v>ACCORD</v>
      </c>
      <c r="G41" s="19" t="s">
        <v>175</v>
      </c>
      <c r="H41" s="19" t="s">
        <v>139</v>
      </c>
      <c r="I41" s="19" t="s">
        <v>175</v>
      </c>
      <c r="J41" s="19" t="s">
        <v>205</v>
      </c>
      <c r="K41" s="20">
        <v>7998.4000000000005</v>
      </c>
      <c r="L41" s="20">
        <v>1</v>
      </c>
      <c r="M41" s="20"/>
      <c r="N41" s="19" t="s">
        <v>140</v>
      </c>
      <c r="O41" s="194">
        <v>45124</v>
      </c>
      <c r="P41" s="194">
        <v>45069</v>
      </c>
      <c r="Q41" s="20" t="s">
        <v>206</v>
      </c>
      <c r="R41" s="20" t="s">
        <v>429</v>
      </c>
      <c r="S41" s="20">
        <f>IFERROR(VLOOKUP(W41,'TB 各拠点LCM搭載機種一覧 (全拠点）'!$C$12:$K$14,8,FALSE),"")</f>
        <v>4281316802</v>
      </c>
      <c r="T41" s="20" t="str">
        <f>IFERROR(VLOOKUP(W41,'TB 各拠点LCM搭載機種一覧 (全拠点）'!$C$12:$K$14,9,FALSE),"")</f>
        <v>W5882M/LIGHT CNTRL</v>
      </c>
      <c r="U41" s="20" t="s">
        <v>430</v>
      </c>
      <c r="V41" s="20" t="s">
        <v>605</v>
      </c>
      <c r="W41" s="19" t="s">
        <v>195</v>
      </c>
      <c r="X41" s="20" t="s">
        <v>431</v>
      </c>
      <c r="Y41" s="20" t="str">
        <f>IFERROR(VLOOKUP(W41,'TB 各拠点LCM搭載機種一覧 (全拠点）'!$C$12:$K$14,2,FALSE),"")</f>
        <v>33100-30E -H020-62</v>
      </c>
      <c r="Z41" s="20" t="str">
        <f>IFERROR(VLOOKUP(W41,'TB 各拠点LCM搭載機種一覧 (全拠点）'!$C$12:$K$14,3,FALSE),"")</f>
        <v>MEAX</v>
      </c>
      <c r="AA41" s="20" t="str">
        <f>IFERROR(VLOOKUP(W41,'TB 各拠点LCM搭載機種一覧 (全拠点）'!$C$12:$K$14,4,FALSE),"")</f>
        <v>Low</v>
      </c>
      <c r="AB41" s="192">
        <v>45064</v>
      </c>
      <c r="AC41" s="25" t="str" cm="1">
        <f t="array" ref="AC41">IFERROR(INDEX(TABLE!$D$5:$D$18,MATCH(1,(TABLE!$A$5:$A$18=D41)*(TABLE!$B$5:$B$18&lt;=AB41)*(TABLE!$C$5:$C$18&gt;=AB41),0)),"対策前")</f>
        <v>M対策3</v>
      </c>
      <c r="AD41" s="28" t="s">
        <v>831</v>
      </c>
      <c r="AE41" s="20" t="s">
        <v>391</v>
      </c>
      <c r="AF41" s="20" t="s">
        <v>184</v>
      </c>
      <c r="AG41" s="19" t="s">
        <v>161</v>
      </c>
      <c r="AH41" s="20" t="s">
        <v>212</v>
      </c>
      <c r="AI41" s="20" t="s">
        <v>126</v>
      </c>
      <c r="AJ41" s="20" t="s">
        <v>419</v>
      </c>
      <c r="AK41" s="20" t="s">
        <v>175</v>
      </c>
      <c r="AL41" s="20" t="s">
        <v>175</v>
      </c>
      <c r="AM41" s="20" t="s">
        <v>175</v>
      </c>
      <c r="AN41" s="20" t="s">
        <v>432</v>
      </c>
      <c r="AO41" s="42" t="s">
        <v>421</v>
      </c>
      <c r="AP41" s="46" t="s">
        <v>428</v>
      </c>
      <c r="AQ41" s="19" t="s">
        <v>648</v>
      </c>
      <c r="AR41" s="200" t="s">
        <v>923</v>
      </c>
      <c r="AS41" s="19" t="s">
        <v>170</v>
      </c>
      <c r="AU41" s="180" t="s">
        <v>170</v>
      </c>
      <c r="AV41" s="181"/>
      <c r="AW41" s="182"/>
      <c r="AX41" s="180"/>
      <c r="AY41" s="181" t="s">
        <v>170</v>
      </c>
      <c r="AZ41" s="182"/>
      <c r="BA41" s="180"/>
      <c r="BB41" s="181"/>
      <c r="BC41" s="182"/>
    </row>
    <row r="42" spans="1:55" ht="63.65" customHeight="1" x14ac:dyDescent="0.55000000000000004">
      <c r="A42" s="198" t="s">
        <v>175</v>
      </c>
      <c r="B42" s="19" t="s">
        <v>171</v>
      </c>
      <c r="C42" s="19">
        <v>38</v>
      </c>
      <c r="D42" s="19" t="s">
        <v>136</v>
      </c>
      <c r="E42" s="19" t="s">
        <v>138</v>
      </c>
      <c r="F42" s="19" t="str">
        <f>IFERROR(VLOOKUP(E42,TABLE!$A$27:$B$48,2,FALSE),"")</f>
        <v>ACCORD</v>
      </c>
      <c r="G42" s="19" t="s">
        <v>175</v>
      </c>
      <c r="H42" s="19" t="s">
        <v>139</v>
      </c>
      <c r="I42" s="19" t="s">
        <v>175</v>
      </c>
      <c r="J42" s="19" t="s">
        <v>205</v>
      </c>
      <c r="K42" s="20">
        <v>419.20000000000005</v>
      </c>
      <c r="L42" s="20">
        <v>1</v>
      </c>
      <c r="M42" s="20"/>
      <c r="N42" s="19" t="s">
        <v>140</v>
      </c>
      <c r="O42" s="195">
        <v>45145</v>
      </c>
      <c r="P42" s="195">
        <v>45105</v>
      </c>
      <c r="Q42" s="20" t="s">
        <v>206</v>
      </c>
      <c r="R42" s="20" t="s">
        <v>433</v>
      </c>
      <c r="S42" s="20">
        <f>IFERROR(VLOOKUP(W42,'TB 各拠点LCM搭載機種一覧 (全拠点）'!$C$12:$K$14,8,FALSE),"")</f>
        <v>4281316802</v>
      </c>
      <c r="T42" s="20" t="str">
        <f>IFERROR(VLOOKUP(W42,'TB 各拠点LCM搭載機種一覧 (全拠点）'!$C$12:$K$14,9,FALSE),"")</f>
        <v>W5882M/LIGHT CNTRL</v>
      </c>
      <c r="U42" s="20" t="s">
        <v>430</v>
      </c>
      <c r="V42" s="20" t="s">
        <v>605</v>
      </c>
      <c r="W42" s="19" t="s">
        <v>195</v>
      </c>
      <c r="X42" s="20" t="s">
        <v>434</v>
      </c>
      <c r="Y42" s="20" t="str">
        <f>IFERROR(VLOOKUP(W42,'TB 各拠点LCM搭載機種一覧 (全拠点）'!$C$12:$K$14,2,FALSE),"")</f>
        <v>33100-30E -H020-62</v>
      </c>
      <c r="Z42" s="20" t="str">
        <f>IFERROR(VLOOKUP(W42,'TB 各拠点LCM搭載機種一覧 (全拠点）'!$C$12:$K$14,3,FALSE),"")</f>
        <v>MEAX</v>
      </c>
      <c r="AA42" s="20" t="str">
        <f>IFERROR(VLOOKUP(W42,'TB 各拠点LCM搭載機種一覧 (全拠点）'!$C$12:$K$14,4,FALSE),"")</f>
        <v>Low</v>
      </c>
      <c r="AB42" s="193">
        <v>45100</v>
      </c>
      <c r="AC42" s="25" t="str" cm="1">
        <f t="array" ref="AC42">IFERROR(INDEX(TABLE!$D$5:$D$18,MATCH(1,(TABLE!$A$5:$A$18=D42)*(TABLE!$B$5:$B$18&lt;=AB42)*(TABLE!$C$5:$C$18&gt;=AB42),0)),"対策前")</f>
        <v>M対策4</v>
      </c>
      <c r="AD42" s="28" t="s">
        <v>175</v>
      </c>
      <c r="AE42" s="20" t="s">
        <v>435</v>
      </c>
      <c r="AF42" s="20" t="s">
        <v>436</v>
      </c>
      <c r="AG42" s="19" t="s">
        <v>329</v>
      </c>
      <c r="AH42" s="20" t="s">
        <v>175</v>
      </c>
      <c r="AI42" s="20" t="s">
        <v>175</v>
      </c>
      <c r="AJ42" s="20" t="s">
        <v>175</v>
      </c>
      <c r="AK42" s="20" t="s">
        <v>175</v>
      </c>
      <c r="AL42" s="20" t="s">
        <v>175</v>
      </c>
      <c r="AM42" s="20" t="s">
        <v>175</v>
      </c>
      <c r="AN42" s="20" t="s">
        <v>175</v>
      </c>
      <c r="AO42" s="42" t="s">
        <v>175</v>
      </c>
      <c r="AP42" s="46" t="s">
        <v>437</v>
      </c>
      <c r="AQ42" s="19" t="s">
        <v>648</v>
      </c>
      <c r="AR42" s="200" t="s">
        <v>923</v>
      </c>
      <c r="AS42" s="19" t="s">
        <v>170</v>
      </c>
      <c r="AU42" s="180"/>
      <c r="AV42" s="181"/>
      <c r="AW42" s="182"/>
      <c r="AX42" s="180"/>
      <c r="AY42" s="181" t="s">
        <v>170</v>
      </c>
      <c r="AZ42" s="182"/>
      <c r="BA42" s="180"/>
      <c r="BB42" s="181"/>
      <c r="BC42" s="182"/>
    </row>
    <row r="43" spans="1:55" ht="63.65" customHeight="1" x14ac:dyDescent="0.55000000000000004">
      <c r="A43" s="198" t="s">
        <v>175</v>
      </c>
      <c r="B43" s="19" t="s">
        <v>404</v>
      </c>
      <c r="C43" s="177">
        <v>39</v>
      </c>
      <c r="D43" s="19" t="s">
        <v>136</v>
      </c>
      <c r="E43" s="19" t="s">
        <v>138</v>
      </c>
      <c r="F43" s="19" t="str">
        <f>IFERROR(VLOOKUP(E43,TABLE!$A$27:$B$48,2,FALSE),"")</f>
        <v>ACCORD</v>
      </c>
      <c r="G43" s="19" t="s">
        <v>175</v>
      </c>
      <c r="H43" s="19" t="s">
        <v>191</v>
      </c>
      <c r="I43" s="19" t="s">
        <v>175</v>
      </c>
      <c r="J43" s="19" t="s">
        <v>177</v>
      </c>
      <c r="K43" s="20" t="s">
        <v>175</v>
      </c>
      <c r="L43" s="20">
        <v>1</v>
      </c>
      <c r="M43" s="20" t="s">
        <v>175</v>
      </c>
      <c r="N43" s="19" t="s">
        <v>140</v>
      </c>
      <c r="O43" s="194">
        <v>45188</v>
      </c>
      <c r="P43" s="194">
        <v>45182</v>
      </c>
      <c r="Q43" s="20" t="s">
        <v>206</v>
      </c>
      <c r="R43" s="20" t="s">
        <v>399</v>
      </c>
      <c r="S43" s="20">
        <f>IFERROR(VLOOKUP(W43,'TB 各拠点LCM搭載機種一覧 (全拠点）'!$C$12:$K$14,8,FALSE),"")</f>
        <v>4281316802</v>
      </c>
      <c r="T43" s="20" t="str">
        <f>IFERROR(VLOOKUP(W43,'TB 各拠点LCM搭載機種一覧 (全拠点）'!$C$12:$K$14,9,FALSE),"")</f>
        <v>W5882M/LIGHT CNTRL</v>
      </c>
      <c r="U43" s="20" t="s">
        <v>146</v>
      </c>
      <c r="V43" s="20" t="s">
        <v>605</v>
      </c>
      <c r="W43" s="19" t="s">
        <v>195</v>
      </c>
      <c r="X43" s="20" t="s">
        <v>438</v>
      </c>
      <c r="Y43" s="20" t="str">
        <f>IFERROR(VLOOKUP(W43,'TB 各拠点LCM搭載機種一覧 (全拠点）'!$C$12:$K$14,2,FALSE),"")</f>
        <v>33100-30E -H020-62</v>
      </c>
      <c r="Z43" s="20" t="str">
        <f>IFERROR(VLOOKUP(W43,'TB 各拠点LCM搭載機種一覧 (全拠点）'!$C$12:$K$14,3,FALSE),"")</f>
        <v>MEAX</v>
      </c>
      <c r="AA43" s="20" t="str">
        <f>IFERROR(VLOOKUP(W43,'TB 各拠点LCM搭載機種一覧 (全拠点）'!$C$12:$K$14,4,FALSE),"")</f>
        <v>Low</v>
      </c>
      <c r="AB43" s="192">
        <v>45176</v>
      </c>
      <c r="AC43" s="25" t="str" cm="1">
        <f t="array" ref="AC43">IFERROR(INDEX(TABLE!$D$5:$D$18,MATCH(1,(TABLE!$A$5:$A$18=D43)*(TABLE!$B$5:$B$18&lt;=AB43)*(TABLE!$C$5:$C$18&gt;=AB43),0)),"対策前")</f>
        <v>M対策5</v>
      </c>
      <c r="AD43" s="28" t="s">
        <v>439</v>
      </c>
      <c r="AE43" s="20" t="s">
        <v>391</v>
      </c>
      <c r="AF43" s="20" t="s">
        <v>184</v>
      </c>
      <c r="AG43" s="19" t="s">
        <v>161</v>
      </c>
      <c r="AH43" s="20" t="s">
        <v>212</v>
      </c>
      <c r="AI43" s="20" t="s">
        <v>440</v>
      </c>
      <c r="AJ43" s="20" t="s">
        <v>126</v>
      </c>
      <c r="AK43" s="20" t="s">
        <v>175</v>
      </c>
      <c r="AL43" s="20" t="s">
        <v>175</v>
      </c>
      <c r="AM43" s="20" t="s">
        <v>175</v>
      </c>
      <c r="AN43" s="20" t="s">
        <v>441</v>
      </c>
      <c r="AO43" s="42" t="s">
        <v>442</v>
      </c>
      <c r="AP43" s="46" t="s">
        <v>443</v>
      </c>
      <c r="AQ43" s="19" t="s">
        <v>648</v>
      </c>
      <c r="AR43" s="200" t="s">
        <v>923</v>
      </c>
      <c r="AS43" s="19" t="s">
        <v>175</v>
      </c>
      <c r="AU43" s="180" t="s">
        <v>170</v>
      </c>
      <c r="AV43" s="181"/>
      <c r="AW43" s="182"/>
      <c r="AX43" s="180"/>
      <c r="AY43" s="181" t="s">
        <v>170</v>
      </c>
      <c r="AZ43" s="182"/>
      <c r="BA43" s="180"/>
      <c r="BB43" s="181"/>
      <c r="BC43" s="182"/>
    </row>
    <row r="44" spans="1:55" ht="63.65" customHeight="1" x14ac:dyDescent="0.55000000000000004">
      <c r="A44" s="198" t="s">
        <v>175</v>
      </c>
      <c r="B44" s="19" t="s">
        <v>404</v>
      </c>
      <c r="C44" s="177">
        <v>40</v>
      </c>
      <c r="D44" s="19" t="s">
        <v>136</v>
      </c>
      <c r="E44" s="19" t="s">
        <v>174</v>
      </c>
      <c r="F44" s="19" t="str">
        <f>IFERROR(VLOOKUP(E44,TABLE!$A$27:$B$48,2,FALSE),"")</f>
        <v>CR-V</v>
      </c>
      <c r="G44" s="19" t="s">
        <v>175</v>
      </c>
      <c r="H44" s="19" t="s">
        <v>139</v>
      </c>
      <c r="I44" s="19" t="s">
        <v>175</v>
      </c>
      <c r="J44" s="19" t="s">
        <v>177</v>
      </c>
      <c r="K44" s="20" t="s">
        <v>175</v>
      </c>
      <c r="L44" s="20">
        <v>1</v>
      </c>
      <c r="M44" s="20" t="s">
        <v>175</v>
      </c>
      <c r="N44" s="19" t="s">
        <v>178</v>
      </c>
      <c r="O44" s="195">
        <v>45196</v>
      </c>
      <c r="P44" s="195">
        <v>45191</v>
      </c>
      <c r="Q44" s="20" t="s">
        <v>444</v>
      </c>
      <c r="R44" s="20" t="s">
        <v>644</v>
      </c>
      <c r="S44" s="20">
        <f>IFERROR(VLOOKUP(W44,'TB 各拠点LCM搭載機種一覧 (全拠点）'!$C$12:$K$14,8,FALSE),"")</f>
        <v>1480820503</v>
      </c>
      <c r="T44" s="20" t="str">
        <f>IFERROR(VLOOKUP(W44,'TB 各拠点LCM搭載機種一覧 (全拠点）'!$C$12:$K$14,9,FALSE),"")</f>
        <v>W6250M/LIGHT CNTRL</v>
      </c>
      <c r="U44" s="20" t="s">
        <v>445</v>
      </c>
      <c r="V44" s="20" t="s">
        <v>605</v>
      </c>
      <c r="W44" s="19" t="s">
        <v>181</v>
      </c>
      <c r="X44" s="20" t="s">
        <v>446</v>
      </c>
      <c r="Y44" s="20" t="str">
        <f>IFERROR(VLOOKUP(W44,'TB 各拠点LCM搭載機種一覧 (全拠点）'!$C$12:$K$14,2,FALSE),"")</f>
        <v>33109-3A0 -A040-62</v>
      </c>
      <c r="Z44" s="20" t="str">
        <f>IFERROR(VLOOKUP(W44,'TB 各拠点LCM搭載機種一覧 (全拠点）'!$C$12:$K$14,3,FALSE),"")</f>
        <v>MEAX</v>
      </c>
      <c r="AA44" s="20" t="str">
        <f>IFERROR(VLOOKUP(W44,'TB 各拠点LCM搭載機種一覧 (全拠点）'!$C$12:$K$14,4,FALSE),"")</f>
        <v>Low</v>
      </c>
      <c r="AB44" s="193">
        <v>45187</v>
      </c>
      <c r="AC44" s="25" t="str" cm="1">
        <f t="array" ref="AC44">IFERROR(INDEX(TABLE!$D$5:$D$18,MATCH(1,(TABLE!$A$5:$A$18=D44)*(TABLE!$B$5:$B$18&lt;=AB44)*(TABLE!$C$5:$C$18&gt;=AB44),0)),"対策前")</f>
        <v>M対策5</v>
      </c>
      <c r="AD44" s="28" t="s">
        <v>832</v>
      </c>
      <c r="AE44" s="20" t="s">
        <v>447</v>
      </c>
      <c r="AF44" s="20" t="s">
        <v>184</v>
      </c>
      <c r="AG44" s="19" t="s">
        <v>160</v>
      </c>
      <c r="AH44" s="20" t="s">
        <v>127</v>
      </c>
      <c r="AI44" s="20" t="s">
        <v>408</v>
      </c>
      <c r="AJ44" s="20" t="s">
        <v>126</v>
      </c>
      <c r="AK44" s="20" t="s">
        <v>175</v>
      </c>
      <c r="AL44" s="20" t="s">
        <v>175</v>
      </c>
      <c r="AM44" s="20" t="s">
        <v>175</v>
      </c>
      <c r="AN44" s="20" t="s">
        <v>448</v>
      </c>
      <c r="AO44" s="42" t="s">
        <v>449</v>
      </c>
      <c r="AP44" s="46" t="s">
        <v>450</v>
      </c>
      <c r="AQ44" s="19" t="s">
        <v>648</v>
      </c>
      <c r="AR44" s="200" t="s">
        <v>923</v>
      </c>
      <c r="AS44" s="19" t="s">
        <v>175</v>
      </c>
      <c r="AU44" s="180" t="s">
        <v>170</v>
      </c>
      <c r="AV44" s="181"/>
      <c r="AW44" s="182"/>
      <c r="AX44" s="180"/>
      <c r="AY44" s="181" t="s">
        <v>170</v>
      </c>
      <c r="AZ44" s="182"/>
      <c r="BA44" s="180"/>
      <c r="BB44" s="181"/>
      <c r="BC44" s="182"/>
    </row>
    <row r="45" spans="1:55" ht="63.65" customHeight="1" x14ac:dyDescent="0.55000000000000004">
      <c r="A45" s="198" t="s">
        <v>175</v>
      </c>
      <c r="B45" s="19" t="s">
        <v>404</v>
      </c>
      <c r="C45" s="177">
        <v>41</v>
      </c>
      <c r="D45" s="19" t="s">
        <v>136</v>
      </c>
      <c r="E45" s="19" t="s">
        <v>138</v>
      </c>
      <c r="F45" s="19" t="str">
        <f>IFERROR(VLOOKUP(E45,TABLE!$A$27:$B$48,2,FALSE),"")</f>
        <v>ACCORD</v>
      </c>
      <c r="G45" s="19" t="s">
        <v>175</v>
      </c>
      <c r="H45" s="19" t="s">
        <v>139</v>
      </c>
      <c r="I45" s="19" t="s">
        <v>175</v>
      </c>
      <c r="J45" s="19" t="s">
        <v>205</v>
      </c>
      <c r="K45" s="20">
        <v>2478.4</v>
      </c>
      <c r="L45" s="20">
        <v>1</v>
      </c>
      <c r="M45" s="20"/>
      <c r="N45" s="19" t="s">
        <v>140</v>
      </c>
      <c r="O45" s="194">
        <v>45170</v>
      </c>
      <c r="P45" s="194">
        <v>45104</v>
      </c>
      <c r="Q45" s="20" t="s">
        <v>451</v>
      </c>
      <c r="R45" s="20" t="s">
        <v>452</v>
      </c>
      <c r="S45" s="20">
        <f>IFERROR(VLOOKUP(W45,'TB 各拠点LCM搭載機種一覧 (全拠点）'!$C$12:$K$14,8,FALSE),"")</f>
        <v>4281316802</v>
      </c>
      <c r="T45" s="20" t="str">
        <f>IFERROR(VLOOKUP(W45,'TB 各拠点LCM搭載機種一覧 (全拠点）'!$C$12:$K$14,9,FALSE),"")</f>
        <v>W5882M/LIGHT CNTRL</v>
      </c>
      <c r="U45" s="20" t="s">
        <v>430</v>
      </c>
      <c r="V45" s="20" t="s">
        <v>605</v>
      </c>
      <c r="W45" s="19" t="s">
        <v>195</v>
      </c>
      <c r="X45" s="20" t="s">
        <v>453</v>
      </c>
      <c r="Y45" s="20" t="str">
        <f>IFERROR(VLOOKUP(W45,'TB 各拠点LCM搭載機種一覧 (全拠点）'!$C$12:$K$14,2,FALSE),"")</f>
        <v>33100-30E -H020-62</v>
      </c>
      <c r="Z45" s="20" t="str">
        <f>IFERROR(VLOOKUP(W45,'TB 各拠点LCM搭載機種一覧 (全拠点）'!$C$12:$K$14,3,FALSE),"")</f>
        <v>MEAX</v>
      </c>
      <c r="AA45" s="20" t="str">
        <f>IFERROR(VLOOKUP(W45,'TB 各拠点LCM搭載機種一覧 (全拠点）'!$C$12:$K$14,4,FALSE),"")</f>
        <v>Low</v>
      </c>
      <c r="AB45" s="192">
        <v>45099</v>
      </c>
      <c r="AC45" s="25" t="str" cm="1">
        <f t="array" ref="AC45">IFERROR(INDEX(TABLE!$D$5:$D$18,MATCH(1,(TABLE!$A$5:$A$18=D45)*(TABLE!$B$5:$B$18&lt;=AB45)*(TABLE!$C$5:$C$18&gt;=AB45),0)),"対策前")</f>
        <v>M対策4</v>
      </c>
      <c r="AD45" s="28" t="s">
        <v>833</v>
      </c>
      <c r="AE45" s="20" t="s">
        <v>454</v>
      </c>
      <c r="AF45" s="20" t="s">
        <v>184</v>
      </c>
      <c r="AG45" s="19" t="s">
        <v>160</v>
      </c>
      <c r="AH45" s="20" t="s">
        <v>127</v>
      </c>
      <c r="AI45" s="20" t="s">
        <v>449</v>
      </c>
      <c r="AJ45" s="20" t="s">
        <v>126</v>
      </c>
      <c r="AK45" s="20" t="s">
        <v>175</v>
      </c>
      <c r="AL45" s="20" t="s">
        <v>175</v>
      </c>
      <c r="AM45" s="20" t="s">
        <v>175</v>
      </c>
      <c r="AN45" s="20" t="s">
        <v>455</v>
      </c>
      <c r="AO45" s="42" t="s">
        <v>449</v>
      </c>
      <c r="AP45" s="46" t="s">
        <v>456</v>
      </c>
      <c r="AQ45" s="19" t="s">
        <v>648</v>
      </c>
      <c r="AR45" s="200" t="s">
        <v>924</v>
      </c>
      <c r="AS45" s="19" t="s">
        <v>170</v>
      </c>
      <c r="AU45" s="180" t="s">
        <v>170</v>
      </c>
      <c r="AV45" s="181"/>
      <c r="AW45" s="182"/>
      <c r="AX45" s="180"/>
      <c r="AY45" s="181" t="s">
        <v>170</v>
      </c>
      <c r="AZ45" s="182"/>
      <c r="BA45" s="180"/>
      <c r="BB45" s="181"/>
      <c r="BC45" s="182"/>
    </row>
    <row r="46" spans="1:55" ht="63.65" customHeight="1" x14ac:dyDescent="0.55000000000000004">
      <c r="A46" s="198" t="s">
        <v>175</v>
      </c>
      <c r="B46" s="19" t="s">
        <v>404</v>
      </c>
      <c r="C46" s="177">
        <v>42</v>
      </c>
      <c r="D46" s="19" t="s">
        <v>136</v>
      </c>
      <c r="E46" s="19" t="s">
        <v>138</v>
      </c>
      <c r="F46" s="19" t="str">
        <f>IFERROR(VLOOKUP(E46,TABLE!$A$27:$B$48,2,FALSE),"")</f>
        <v>ACCORD</v>
      </c>
      <c r="G46" s="19" t="s">
        <v>175</v>
      </c>
      <c r="H46" s="19" t="s">
        <v>139</v>
      </c>
      <c r="I46" s="19" t="s">
        <v>175</v>
      </c>
      <c r="J46" s="19" t="s">
        <v>205</v>
      </c>
      <c r="K46" s="20">
        <v>11406.400000000001</v>
      </c>
      <c r="L46" s="20">
        <v>1</v>
      </c>
      <c r="M46" s="20"/>
      <c r="N46" s="19" t="s">
        <v>140</v>
      </c>
      <c r="O46" s="195">
        <v>45187</v>
      </c>
      <c r="P46" s="195">
        <v>45117</v>
      </c>
      <c r="Q46" s="20" t="s">
        <v>206</v>
      </c>
      <c r="R46" s="20" t="s">
        <v>457</v>
      </c>
      <c r="S46" s="20">
        <f>IFERROR(VLOOKUP(W46,'TB 各拠点LCM搭載機種一覧 (全拠点）'!$C$12:$K$14,8,FALSE),"")</f>
        <v>4281316802</v>
      </c>
      <c r="T46" s="20" t="str">
        <f>IFERROR(VLOOKUP(W46,'TB 各拠点LCM搭載機種一覧 (全拠点）'!$C$12:$K$14,9,FALSE),"")</f>
        <v>W5882M/LIGHT CNTRL</v>
      </c>
      <c r="U46" s="20" t="s">
        <v>430</v>
      </c>
      <c r="V46" s="20" t="s">
        <v>605</v>
      </c>
      <c r="W46" s="19" t="s">
        <v>195</v>
      </c>
      <c r="X46" s="20" t="s">
        <v>458</v>
      </c>
      <c r="Y46" s="20" t="str">
        <f>IFERROR(VLOOKUP(W46,'TB 各拠点LCM搭載機種一覧 (全拠点）'!$C$12:$K$14,2,FALSE),"")</f>
        <v>33100-30E -H020-62</v>
      </c>
      <c r="Z46" s="20" t="str">
        <f>IFERROR(VLOOKUP(W46,'TB 各拠点LCM搭載機種一覧 (全拠点）'!$C$12:$K$14,3,FALSE),"")</f>
        <v>MEAX</v>
      </c>
      <c r="AA46" s="20" t="str">
        <f>IFERROR(VLOOKUP(W46,'TB 各拠点LCM搭載機種一覧 (全拠点）'!$C$12:$K$14,4,FALSE),"")</f>
        <v>Low</v>
      </c>
      <c r="AB46" s="193">
        <v>45106</v>
      </c>
      <c r="AC46" s="25" t="str" cm="1">
        <f t="array" ref="AC46">IFERROR(INDEX(TABLE!$D$5:$D$18,MATCH(1,(TABLE!$A$5:$A$18=D46)*(TABLE!$B$5:$B$18&lt;=AB46)*(TABLE!$C$5:$C$18&gt;=AB46),0)),"対策前")</f>
        <v>M対策4</v>
      </c>
      <c r="AD46" s="28" t="s">
        <v>834</v>
      </c>
      <c r="AE46" s="20" t="s">
        <v>391</v>
      </c>
      <c r="AF46" s="20" t="s">
        <v>184</v>
      </c>
      <c r="AG46" s="19" t="s">
        <v>161</v>
      </c>
      <c r="AH46" s="20" t="s">
        <v>212</v>
      </c>
      <c r="AI46" s="20" t="s">
        <v>126</v>
      </c>
      <c r="AJ46" s="20" t="s">
        <v>449</v>
      </c>
      <c r="AK46" s="20" t="s">
        <v>175</v>
      </c>
      <c r="AL46" s="20" t="s">
        <v>175</v>
      </c>
      <c r="AM46" s="20" t="s">
        <v>175</v>
      </c>
      <c r="AN46" s="20" t="s">
        <v>459</v>
      </c>
      <c r="AO46" s="42" t="s">
        <v>460</v>
      </c>
      <c r="AP46" s="46" t="s">
        <v>456</v>
      </c>
      <c r="AQ46" s="19" t="s">
        <v>648</v>
      </c>
      <c r="AR46" s="200" t="s">
        <v>923</v>
      </c>
      <c r="AS46" s="19" t="s">
        <v>170</v>
      </c>
      <c r="AU46" s="180" t="s">
        <v>170</v>
      </c>
      <c r="AV46" s="181"/>
      <c r="AW46" s="182"/>
      <c r="AX46" s="180"/>
      <c r="AY46" s="181" t="s">
        <v>170</v>
      </c>
      <c r="AZ46" s="182"/>
      <c r="BA46" s="180"/>
      <c r="BB46" s="181"/>
      <c r="BC46" s="182"/>
    </row>
    <row r="47" spans="1:55" ht="63.65" customHeight="1" x14ac:dyDescent="0.55000000000000004">
      <c r="A47" s="198" t="s">
        <v>175</v>
      </c>
      <c r="B47" s="19" t="s">
        <v>404</v>
      </c>
      <c r="C47" s="177">
        <v>43</v>
      </c>
      <c r="D47" s="19" t="s">
        <v>136</v>
      </c>
      <c r="E47" s="19" t="s">
        <v>138</v>
      </c>
      <c r="F47" s="19" t="str">
        <f>IFERROR(VLOOKUP(E47,TABLE!$A$27:$B$48,2,FALSE),"")</f>
        <v>ACCORD</v>
      </c>
      <c r="G47" s="19" t="s">
        <v>175</v>
      </c>
      <c r="H47" s="19" t="s">
        <v>139</v>
      </c>
      <c r="I47" s="19" t="s">
        <v>175</v>
      </c>
      <c r="J47" s="19" t="s">
        <v>205</v>
      </c>
      <c r="K47" s="20">
        <v>1616</v>
      </c>
      <c r="L47" s="20">
        <v>1</v>
      </c>
      <c r="M47" s="20"/>
      <c r="N47" s="19" t="s">
        <v>140</v>
      </c>
      <c r="O47" s="194">
        <v>45187</v>
      </c>
      <c r="P47" s="194">
        <v>45071</v>
      </c>
      <c r="Q47" s="20" t="s">
        <v>461</v>
      </c>
      <c r="R47" s="20" t="s">
        <v>462</v>
      </c>
      <c r="S47" s="20">
        <f>IFERROR(VLOOKUP(W47,'TB 各拠点LCM搭載機種一覧 (全拠点）'!$C$12:$K$14,8,FALSE),"")</f>
        <v>4281316802</v>
      </c>
      <c r="T47" s="20" t="str">
        <f>IFERROR(VLOOKUP(W47,'TB 各拠点LCM搭載機種一覧 (全拠点）'!$C$12:$K$14,9,FALSE),"")</f>
        <v>W5882M/LIGHT CNTRL</v>
      </c>
      <c r="U47" s="20" t="s">
        <v>463</v>
      </c>
      <c r="V47" s="20" t="s">
        <v>605</v>
      </c>
      <c r="W47" s="19" t="s">
        <v>195</v>
      </c>
      <c r="X47" s="20" t="s">
        <v>464</v>
      </c>
      <c r="Y47" s="20" t="str">
        <f>IFERROR(VLOOKUP(W47,'TB 各拠点LCM搭載機種一覧 (全拠点）'!$C$12:$K$14,2,FALSE),"")</f>
        <v>33100-30E -H020-62</v>
      </c>
      <c r="Z47" s="20" t="str">
        <f>IFERROR(VLOOKUP(W47,'TB 各拠点LCM搭載機種一覧 (全拠点）'!$C$12:$K$14,3,FALSE),"")</f>
        <v>MEAX</v>
      </c>
      <c r="AA47" s="20" t="str">
        <f>IFERROR(VLOOKUP(W47,'TB 各拠点LCM搭載機種一覧 (全拠点）'!$C$12:$K$14,4,FALSE),"")</f>
        <v>Low</v>
      </c>
      <c r="AB47" s="192">
        <v>45056</v>
      </c>
      <c r="AC47" s="25" t="str" cm="1">
        <f t="array" ref="AC47">IFERROR(INDEX(TABLE!$D$5:$D$18,MATCH(1,(TABLE!$A$5:$A$18=D47)*(TABLE!$B$5:$B$18&lt;=AB47)*(TABLE!$C$5:$C$18&gt;=AB47),0)),"対策前")</f>
        <v>M対策3</v>
      </c>
      <c r="AD47" s="28" t="s">
        <v>465</v>
      </c>
      <c r="AE47" s="20" t="s">
        <v>454</v>
      </c>
      <c r="AF47" s="20" t="s">
        <v>184</v>
      </c>
      <c r="AG47" s="19" t="s">
        <v>161</v>
      </c>
      <c r="AH47" s="20" t="s">
        <v>212</v>
      </c>
      <c r="AI47" s="20" t="s">
        <v>449</v>
      </c>
      <c r="AJ47" s="20" t="s">
        <v>126</v>
      </c>
      <c r="AK47" s="20" t="s">
        <v>175</v>
      </c>
      <c r="AL47" s="20" t="s">
        <v>175</v>
      </c>
      <c r="AM47" s="20" t="s">
        <v>175</v>
      </c>
      <c r="AN47" s="20" t="s">
        <v>466</v>
      </c>
      <c r="AO47" s="42" t="s">
        <v>467</v>
      </c>
      <c r="AP47" s="46" t="s">
        <v>456</v>
      </c>
      <c r="AQ47" s="19" t="s">
        <v>648</v>
      </c>
      <c r="AR47" s="200" t="s">
        <v>924</v>
      </c>
      <c r="AS47" s="19" t="s">
        <v>170</v>
      </c>
      <c r="AU47" s="180" t="s">
        <v>170</v>
      </c>
      <c r="AV47" s="181"/>
      <c r="AW47" s="182"/>
      <c r="AX47" s="180"/>
      <c r="AY47" s="181" t="s">
        <v>170</v>
      </c>
      <c r="AZ47" s="182"/>
      <c r="BA47" s="180"/>
      <c r="BB47" s="181"/>
      <c r="BC47" s="182"/>
    </row>
    <row r="48" spans="1:55" ht="63.65" customHeight="1" x14ac:dyDescent="0.55000000000000004">
      <c r="A48" s="198" t="s">
        <v>175</v>
      </c>
      <c r="B48" s="19" t="s">
        <v>404</v>
      </c>
      <c r="C48" s="176">
        <v>44</v>
      </c>
      <c r="D48" s="19" t="s">
        <v>136</v>
      </c>
      <c r="E48" s="19" t="s">
        <v>639</v>
      </c>
      <c r="F48" s="19" t="str">
        <f>IFERROR(VLOOKUP(E48,TABLE!$A$27:$B$48,2,FALSE),"")</f>
        <v>ACCORD</v>
      </c>
      <c r="G48" s="19" t="s">
        <v>175</v>
      </c>
      <c r="H48" s="19" t="s">
        <v>139</v>
      </c>
      <c r="I48" s="19" t="s">
        <v>175</v>
      </c>
      <c r="J48" s="19" t="s">
        <v>205</v>
      </c>
      <c r="K48" s="20">
        <v>3345.6000000000004</v>
      </c>
      <c r="L48" s="20">
        <v>1</v>
      </c>
      <c r="M48" s="20"/>
      <c r="N48" s="19" t="s">
        <v>140</v>
      </c>
      <c r="O48" s="195"/>
      <c r="P48" s="195">
        <v>45059</v>
      </c>
      <c r="Q48" s="20" t="s">
        <v>206</v>
      </c>
      <c r="R48" s="20" t="s">
        <v>468</v>
      </c>
      <c r="S48" s="20">
        <f>IFERROR(VLOOKUP(W48,'TB 各拠点LCM搭載機種一覧 (全拠点）'!$C$12:$K$14,8,FALSE),"")</f>
        <v>4281316802</v>
      </c>
      <c r="T48" s="20" t="str">
        <f>IFERROR(VLOOKUP(W48,'TB 各拠点LCM搭載機種一覧 (全拠点）'!$C$12:$K$14,9,FALSE),"")</f>
        <v>W5882M/LIGHT CNTRL</v>
      </c>
      <c r="U48" s="20" t="s">
        <v>430</v>
      </c>
      <c r="V48" s="20" t="s">
        <v>605</v>
      </c>
      <c r="W48" s="19" t="s">
        <v>195</v>
      </c>
      <c r="X48" s="20" t="s">
        <v>469</v>
      </c>
      <c r="Y48" s="20" t="str">
        <f>IFERROR(VLOOKUP(W48,'TB 各拠点LCM搭載機種一覧 (全拠点）'!$C$12:$K$14,2,FALSE),"")</f>
        <v>33100-30E -H020-62</v>
      </c>
      <c r="Z48" s="20" t="str">
        <f>IFERROR(VLOOKUP(W48,'TB 各拠点LCM搭載機種一覧 (全拠点）'!$C$12:$K$14,3,FALSE),"")</f>
        <v>MEAX</v>
      </c>
      <c r="AA48" s="20" t="str">
        <f>IFERROR(VLOOKUP(W48,'TB 各拠点LCM搭載機種一覧 (全拠点）'!$C$12:$K$14,4,FALSE),"")</f>
        <v>Low</v>
      </c>
      <c r="AB48" s="193">
        <v>45021</v>
      </c>
      <c r="AC48" s="25" t="str" cm="1">
        <f t="array" ref="AC48">IFERROR(INDEX(TABLE!$D$5:$D$18,MATCH(1,(TABLE!$A$5:$A$18=D48)*(TABLE!$B$5:$B$18&lt;=AB48)*(TABLE!$C$5:$C$18&gt;=AB48),0)),"対策前")</f>
        <v>M対策2</v>
      </c>
      <c r="AD48" s="28" t="s">
        <v>835</v>
      </c>
      <c r="AE48" s="20" t="s">
        <v>391</v>
      </c>
      <c r="AF48" s="20" t="s">
        <v>184</v>
      </c>
      <c r="AG48" s="19" t="s">
        <v>641</v>
      </c>
      <c r="AH48" s="20" t="s">
        <v>212</v>
      </c>
      <c r="AI48" s="20" t="s">
        <v>449</v>
      </c>
      <c r="AJ48" s="20" t="s">
        <v>470</v>
      </c>
      <c r="AK48" s="20" t="s">
        <v>175</v>
      </c>
      <c r="AL48" s="20" t="s">
        <v>175</v>
      </c>
      <c r="AM48" s="20" t="s">
        <v>175</v>
      </c>
      <c r="AN48" s="20" t="s">
        <v>471</v>
      </c>
      <c r="AO48" s="42" t="s">
        <v>472</v>
      </c>
      <c r="AP48" s="46" t="s">
        <v>642</v>
      </c>
      <c r="AQ48" s="19" t="s">
        <v>648</v>
      </c>
      <c r="AR48" s="200" t="s">
        <v>47</v>
      </c>
      <c r="AS48" s="19" t="s">
        <v>640</v>
      </c>
      <c r="AU48" s="180" t="s">
        <v>170</v>
      </c>
      <c r="AV48" s="181"/>
      <c r="AW48" s="182"/>
      <c r="AX48" s="180"/>
      <c r="AY48" s="181" t="s">
        <v>170</v>
      </c>
      <c r="AZ48" s="182"/>
      <c r="BA48" s="180"/>
      <c r="BB48" s="181"/>
      <c r="BC48" s="182"/>
    </row>
    <row r="49" spans="1:55" ht="63.65" customHeight="1" x14ac:dyDescent="0.55000000000000004">
      <c r="A49" s="198" t="s">
        <v>175</v>
      </c>
      <c r="B49" s="19" t="s">
        <v>473</v>
      </c>
      <c r="C49" s="178">
        <v>45</v>
      </c>
      <c r="D49" s="19" t="s">
        <v>136</v>
      </c>
      <c r="E49" s="19" t="s">
        <v>174</v>
      </c>
      <c r="F49" s="19" t="str">
        <f>IFERROR(VLOOKUP(E49,TABLE!$A$27:$B$48,2,FALSE),"")</f>
        <v>CR-V</v>
      </c>
      <c r="G49" s="19" t="s">
        <v>175</v>
      </c>
      <c r="H49" s="19" t="s">
        <v>139</v>
      </c>
      <c r="I49" s="19" t="s">
        <v>175</v>
      </c>
      <c r="J49" s="19" t="s">
        <v>177</v>
      </c>
      <c r="K49" s="20" t="s">
        <v>175</v>
      </c>
      <c r="L49" s="20">
        <v>1</v>
      </c>
      <c r="M49" s="20" t="s">
        <v>175</v>
      </c>
      <c r="N49" s="19" t="s">
        <v>290</v>
      </c>
      <c r="O49" s="194">
        <v>45243</v>
      </c>
      <c r="P49" s="194">
        <v>45233</v>
      </c>
      <c r="Q49" s="20" t="s">
        <v>474</v>
      </c>
      <c r="R49" s="20" t="s">
        <v>368</v>
      </c>
      <c r="S49" s="20">
        <f>IFERROR(VLOOKUP(W49,'TB 各拠点LCM搭載機種一覧 (全拠点）'!$C$12:$K$14,8,FALSE),"")</f>
        <v>1480820503</v>
      </c>
      <c r="T49" s="20" t="str">
        <f>IFERROR(VLOOKUP(W49,'TB 各拠点LCM搭載機種一覧 (全拠点）'!$C$12:$K$14,9,FALSE),"")</f>
        <v>W6250M/LIGHT CNTRL</v>
      </c>
      <c r="U49" s="20" t="s">
        <v>152</v>
      </c>
      <c r="V49" s="20" t="s">
        <v>605</v>
      </c>
      <c r="W49" s="19" t="s">
        <v>181</v>
      </c>
      <c r="X49" s="20" t="s">
        <v>475</v>
      </c>
      <c r="Y49" s="20" t="str">
        <f>IFERROR(VLOOKUP(W49,'TB 各拠点LCM搭載機種一覧 (全拠点）'!$C$12:$K$14,2,FALSE),"")</f>
        <v>33109-3A0 -A040-62</v>
      </c>
      <c r="Z49" s="20" t="str">
        <f>IFERROR(VLOOKUP(W49,'TB 各拠点LCM搭載機種一覧 (全拠点）'!$C$12:$K$14,3,FALSE),"")</f>
        <v>MEAX</v>
      </c>
      <c r="AA49" s="20" t="str">
        <f>IFERROR(VLOOKUP(W49,'TB 各拠点LCM搭載機種一覧 (全拠点）'!$C$12:$K$14,4,FALSE),"")</f>
        <v>Low</v>
      </c>
      <c r="AB49" s="192">
        <v>45227</v>
      </c>
      <c r="AC49" s="25" t="str" cm="1">
        <f t="array" ref="AC49">IFERROR(INDEX(TABLE!$D$5:$D$18,MATCH(1,(TABLE!$A$5:$A$18=D49)*(TABLE!$B$5:$B$18&lt;=AB49)*(TABLE!$C$5:$C$18&gt;=AB49),0)),"対策前")</f>
        <v>T対策2</v>
      </c>
      <c r="AD49" s="28" t="s">
        <v>836</v>
      </c>
      <c r="AE49" s="20" t="s">
        <v>476</v>
      </c>
      <c r="AF49" s="20" t="s">
        <v>184</v>
      </c>
      <c r="AG49" s="19" t="s">
        <v>161</v>
      </c>
      <c r="AH49" s="20" t="s">
        <v>212</v>
      </c>
      <c r="AI49" s="20" t="s">
        <v>319</v>
      </c>
      <c r="AJ49" s="20" t="s">
        <v>126</v>
      </c>
      <c r="AK49" s="20" t="s">
        <v>175</v>
      </c>
      <c r="AL49" s="20" t="s">
        <v>175</v>
      </c>
      <c r="AM49" s="20" t="s">
        <v>175</v>
      </c>
      <c r="AN49" s="20" t="s">
        <v>477</v>
      </c>
      <c r="AO49" s="42" t="s">
        <v>467</v>
      </c>
      <c r="AP49" s="46" t="s">
        <v>478</v>
      </c>
      <c r="AQ49" s="19" t="s">
        <v>648</v>
      </c>
      <c r="AR49" s="200" t="s">
        <v>923</v>
      </c>
      <c r="AS49" s="19" t="s">
        <v>175</v>
      </c>
      <c r="AU49" s="180" t="s">
        <v>170</v>
      </c>
      <c r="AV49" s="181"/>
      <c r="AW49" s="182"/>
      <c r="AX49" s="180"/>
      <c r="AY49" s="181" t="s">
        <v>170</v>
      </c>
      <c r="AZ49" s="182"/>
      <c r="BA49" s="180"/>
      <c r="BB49" s="181"/>
      <c r="BC49" s="182"/>
    </row>
    <row r="50" spans="1:55" ht="63.65" customHeight="1" x14ac:dyDescent="0.55000000000000004">
      <c r="A50" s="198" t="s">
        <v>175</v>
      </c>
      <c r="B50" s="19" t="s">
        <v>171</v>
      </c>
      <c r="C50" s="177">
        <v>46</v>
      </c>
      <c r="D50" s="19" t="s">
        <v>136</v>
      </c>
      <c r="E50" s="19" t="s">
        <v>138</v>
      </c>
      <c r="F50" s="19" t="str">
        <f>IFERROR(VLOOKUP(E50,TABLE!$A$27:$B$48,2,FALSE),"")</f>
        <v>ACCORD</v>
      </c>
      <c r="G50" s="19" t="s">
        <v>175</v>
      </c>
      <c r="H50" s="19" t="s">
        <v>139</v>
      </c>
      <c r="I50" s="19" t="s">
        <v>175</v>
      </c>
      <c r="J50" s="19" t="s">
        <v>177</v>
      </c>
      <c r="K50" s="20" t="s">
        <v>175</v>
      </c>
      <c r="L50" s="20">
        <v>1</v>
      </c>
      <c r="M50" s="20" t="s">
        <v>175</v>
      </c>
      <c r="N50" s="19" t="s">
        <v>140</v>
      </c>
      <c r="O50" s="195">
        <v>45308</v>
      </c>
      <c r="P50" s="195">
        <v>45300</v>
      </c>
      <c r="Q50" s="20" t="s">
        <v>474</v>
      </c>
      <c r="R50" s="20" t="s">
        <v>479</v>
      </c>
      <c r="S50" s="20">
        <f>IFERROR(VLOOKUP(W50,'TB 各拠点LCM搭載機種一覧 (全拠点）'!$C$12:$K$14,8,FALSE),"")</f>
        <v>4281316802</v>
      </c>
      <c r="T50" s="20" t="str">
        <f>IFERROR(VLOOKUP(W50,'TB 各拠点LCM搭載機種一覧 (全拠点）'!$C$12:$K$14,9,FALSE),"")</f>
        <v>W5882M/LIGHT CNTRL</v>
      </c>
      <c r="U50" s="20" t="s">
        <v>156</v>
      </c>
      <c r="V50" s="20" t="s">
        <v>605</v>
      </c>
      <c r="W50" s="19" t="s">
        <v>195</v>
      </c>
      <c r="X50" s="20" t="s">
        <v>480</v>
      </c>
      <c r="Y50" s="20" t="str">
        <f>IFERROR(VLOOKUP(W50,'TB 各拠点LCM搭載機種一覧 (全拠点）'!$C$12:$K$14,2,FALSE),"")</f>
        <v>33100-30E -H020-62</v>
      </c>
      <c r="Z50" s="20" t="str">
        <f>IFERROR(VLOOKUP(W50,'TB 各拠点LCM搭載機種一覧 (全拠点）'!$C$12:$K$14,3,FALSE),"")</f>
        <v>MEAX</v>
      </c>
      <c r="AA50" s="20" t="str">
        <f>IFERROR(VLOOKUP(W50,'TB 各拠点LCM搭載機種一覧 (全拠点）'!$C$12:$K$14,4,FALSE),"")</f>
        <v>Low</v>
      </c>
      <c r="AB50" s="193">
        <v>45282</v>
      </c>
      <c r="AC50" s="25" t="str" cm="1">
        <f t="array" ref="AC50">IFERROR(INDEX(TABLE!$D$5:$D$18,MATCH(1,(TABLE!$A$5:$A$18=D50)*(TABLE!$B$5:$B$18&lt;=AB50)*(TABLE!$C$5:$C$18&gt;=AB50),0)),"対策前")</f>
        <v>T対策2</v>
      </c>
      <c r="AD50" s="28" t="s">
        <v>837</v>
      </c>
      <c r="AE50" s="20" t="s">
        <v>481</v>
      </c>
      <c r="AF50" s="20" t="s">
        <v>184</v>
      </c>
      <c r="AG50" s="19" t="s">
        <v>484</v>
      </c>
      <c r="AH50" s="20" t="s">
        <v>127</v>
      </c>
      <c r="AI50" s="20" t="s">
        <v>126</v>
      </c>
      <c r="AJ50" s="20" t="s">
        <v>126</v>
      </c>
      <c r="AK50" s="20" t="s">
        <v>126</v>
      </c>
      <c r="AL50" s="20" t="s">
        <v>126</v>
      </c>
      <c r="AM50" s="20" t="s">
        <v>126</v>
      </c>
      <c r="AN50" s="20" t="s">
        <v>126</v>
      </c>
      <c r="AO50" s="42" t="s">
        <v>482</v>
      </c>
      <c r="AP50" s="46" t="s">
        <v>483</v>
      </c>
      <c r="AQ50" s="19" t="s">
        <v>648</v>
      </c>
      <c r="AR50" s="200" t="s">
        <v>923</v>
      </c>
      <c r="AS50" s="19" t="s">
        <v>175</v>
      </c>
      <c r="AU50" s="180" t="s">
        <v>170</v>
      </c>
      <c r="AV50" s="181"/>
      <c r="AW50" s="182"/>
      <c r="AX50" s="180"/>
      <c r="AY50" s="181" t="s">
        <v>170</v>
      </c>
      <c r="AZ50" s="182"/>
      <c r="BA50" s="180"/>
      <c r="BB50" s="181"/>
      <c r="BC50" s="182"/>
    </row>
    <row r="51" spans="1:55" ht="63.65" customHeight="1" x14ac:dyDescent="0.55000000000000004">
      <c r="A51" s="198" t="s">
        <v>175</v>
      </c>
      <c r="B51" s="19" t="s">
        <v>473</v>
      </c>
      <c r="C51" s="19">
        <v>47</v>
      </c>
      <c r="D51" s="19" t="s">
        <v>136</v>
      </c>
      <c r="E51" s="19" t="s">
        <v>174</v>
      </c>
      <c r="F51" s="19" t="str">
        <f>IFERROR(VLOOKUP(E51,TABLE!$A$27:$B$48,2,FALSE),"")</f>
        <v>CR-V</v>
      </c>
      <c r="G51" s="19" t="s">
        <v>175</v>
      </c>
      <c r="H51" s="19" t="s">
        <v>191</v>
      </c>
      <c r="I51" s="19" t="s">
        <v>175</v>
      </c>
      <c r="J51" s="19" t="s">
        <v>177</v>
      </c>
      <c r="K51" s="20" t="s">
        <v>175</v>
      </c>
      <c r="L51" s="20">
        <v>1</v>
      </c>
      <c r="M51" s="20" t="s">
        <v>175</v>
      </c>
      <c r="N51" s="19" t="s">
        <v>290</v>
      </c>
      <c r="O51" s="194">
        <v>45324</v>
      </c>
      <c r="P51" s="194">
        <v>45315</v>
      </c>
      <c r="Q51" s="20" t="s">
        <v>474</v>
      </c>
      <c r="R51" s="20" t="s">
        <v>485</v>
      </c>
      <c r="S51" s="20">
        <f>IFERROR(VLOOKUP(W51,'TB 各拠点LCM搭載機種一覧 (全拠点）'!$C$12:$K$14,8,FALSE),"")</f>
        <v>1480820503</v>
      </c>
      <c r="T51" s="20" t="str">
        <f>IFERROR(VLOOKUP(W51,'TB 各拠点LCM搭載機種一覧 (全拠点）'!$C$12:$K$14,9,FALSE),"")</f>
        <v>W6250M/LIGHT CNTRL</v>
      </c>
      <c r="U51" s="20" t="s">
        <v>150</v>
      </c>
      <c r="V51" s="20" t="s">
        <v>605</v>
      </c>
      <c r="W51" s="19" t="s">
        <v>181</v>
      </c>
      <c r="X51" s="20" t="s">
        <v>486</v>
      </c>
      <c r="Y51" s="20" t="str">
        <f>IFERROR(VLOOKUP(W51,'TB 各拠点LCM搭載機種一覧 (全拠点）'!$C$12:$K$14,2,FALSE),"")</f>
        <v>33109-3A0 -A040-62</v>
      </c>
      <c r="Z51" s="20" t="str">
        <f>IFERROR(VLOOKUP(W51,'TB 各拠点LCM搭載機種一覧 (全拠点）'!$C$12:$K$14,3,FALSE),"")</f>
        <v>MEAX</v>
      </c>
      <c r="AA51" s="20" t="str">
        <f>IFERROR(VLOOKUP(W51,'TB 各拠点LCM搭載機種一覧 (全拠点）'!$C$12:$K$14,4,FALSE),"")</f>
        <v>Low</v>
      </c>
      <c r="AB51" s="192">
        <v>45300</v>
      </c>
      <c r="AC51" s="25" t="str" cm="1">
        <f t="array" ref="AC51">IFERROR(INDEX(TABLE!$D$5:$D$18,MATCH(1,(TABLE!$A$5:$A$18=D51)*(TABLE!$B$5:$B$18&lt;=AB51)*(TABLE!$C$5:$C$18&gt;=AB51),0)),"対策前")</f>
        <v>T対策2</v>
      </c>
      <c r="AD51" s="28" t="s">
        <v>838</v>
      </c>
      <c r="AE51" s="20" t="s">
        <v>487</v>
      </c>
      <c r="AF51" s="20" t="s">
        <v>184</v>
      </c>
      <c r="AG51" s="19" t="s">
        <v>161</v>
      </c>
      <c r="AH51" s="20" t="s">
        <v>212</v>
      </c>
      <c r="AI51" s="20" t="s">
        <v>488</v>
      </c>
      <c r="AJ51" s="20" t="s">
        <v>126</v>
      </c>
      <c r="AK51" s="20" t="s">
        <v>175</v>
      </c>
      <c r="AL51" s="20" t="s">
        <v>175</v>
      </c>
      <c r="AM51" s="20" t="s">
        <v>175</v>
      </c>
      <c r="AN51" s="20" t="s">
        <v>489</v>
      </c>
      <c r="AO51" s="42" t="s">
        <v>467</v>
      </c>
      <c r="AP51" s="46" t="s">
        <v>490</v>
      </c>
      <c r="AQ51" s="19" t="s">
        <v>648</v>
      </c>
      <c r="AR51" s="200" t="s">
        <v>923</v>
      </c>
      <c r="AS51" s="19" t="s">
        <v>175</v>
      </c>
      <c r="AU51" s="180" t="s">
        <v>170</v>
      </c>
      <c r="AV51" s="181"/>
      <c r="AW51" s="182"/>
      <c r="AX51" s="180"/>
      <c r="AY51" s="181" t="s">
        <v>170</v>
      </c>
      <c r="AZ51" s="182"/>
      <c r="BA51" s="180"/>
      <c r="BB51" s="181"/>
      <c r="BC51" s="182"/>
    </row>
    <row r="52" spans="1:55" ht="63.65" customHeight="1" x14ac:dyDescent="0.55000000000000004">
      <c r="A52" s="198" t="s">
        <v>175</v>
      </c>
      <c r="B52" s="19" t="s">
        <v>473</v>
      </c>
      <c r="C52" s="19">
        <v>48</v>
      </c>
      <c r="D52" s="19" t="s">
        <v>136</v>
      </c>
      <c r="E52" s="19" t="s">
        <v>138</v>
      </c>
      <c r="F52" s="19" t="str">
        <f>IFERROR(VLOOKUP(E52,TABLE!$A$27:$B$48,2,FALSE),"")</f>
        <v>ACCORD</v>
      </c>
      <c r="G52" s="19" t="s">
        <v>175</v>
      </c>
      <c r="H52" s="19" t="s">
        <v>139</v>
      </c>
      <c r="I52" s="19" t="s">
        <v>175</v>
      </c>
      <c r="J52" s="19" t="s">
        <v>177</v>
      </c>
      <c r="K52" s="20" t="s">
        <v>175</v>
      </c>
      <c r="L52" s="20">
        <v>1</v>
      </c>
      <c r="M52" s="20" t="s">
        <v>175</v>
      </c>
      <c r="N52" s="19" t="s">
        <v>140</v>
      </c>
      <c r="O52" s="195">
        <v>45324</v>
      </c>
      <c r="P52" s="195">
        <v>45321</v>
      </c>
      <c r="Q52" s="20" t="s">
        <v>474</v>
      </c>
      <c r="R52" s="20" t="s">
        <v>491</v>
      </c>
      <c r="S52" s="20">
        <f>IFERROR(VLOOKUP(W52,'TB 各拠点LCM搭載機種一覧 (全拠点）'!$C$12:$K$14,8,FALSE),"")</f>
        <v>4281316802</v>
      </c>
      <c r="T52" s="20" t="str">
        <f>IFERROR(VLOOKUP(W52,'TB 各拠点LCM搭載機種一覧 (全拠点）'!$C$12:$K$14,9,FALSE),"")</f>
        <v>W5882M/LIGHT CNTRL</v>
      </c>
      <c r="U52" s="20" t="s">
        <v>156</v>
      </c>
      <c r="V52" s="20" t="s">
        <v>605</v>
      </c>
      <c r="W52" s="19" t="s">
        <v>195</v>
      </c>
      <c r="X52" s="20" t="s">
        <v>492</v>
      </c>
      <c r="Y52" s="20" t="str">
        <f>IFERROR(VLOOKUP(W52,'TB 各拠点LCM搭載機種一覧 (全拠点）'!$C$12:$K$14,2,FALSE),"")</f>
        <v>33100-30E -H020-62</v>
      </c>
      <c r="Z52" s="20" t="str">
        <f>IFERROR(VLOOKUP(W52,'TB 各拠点LCM搭載機種一覧 (全拠点）'!$C$12:$K$14,3,FALSE),"")</f>
        <v>MEAX</v>
      </c>
      <c r="AA52" s="20" t="str">
        <f>IFERROR(VLOOKUP(W52,'TB 各拠点LCM搭載機種一覧 (全拠点）'!$C$12:$K$14,4,FALSE),"")</f>
        <v>Low</v>
      </c>
      <c r="AB52" s="193">
        <v>45295</v>
      </c>
      <c r="AC52" s="25" t="str" cm="1">
        <f t="array" ref="AC52">IFERROR(INDEX(TABLE!$D$5:$D$18,MATCH(1,(TABLE!$A$5:$A$18=D52)*(TABLE!$B$5:$B$18&lt;=AB52)*(TABLE!$C$5:$C$18&gt;=AB52),0)),"対策前")</f>
        <v>T対策2</v>
      </c>
      <c r="AD52" s="28" t="s">
        <v>839</v>
      </c>
      <c r="AE52" s="20" t="s">
        <v>487</v>
      </c>
      <c r="AF52" s="20" t="s">
        <v>184</v>
      </c>
      <c r="AG52" s="19" t="s">
        <v>161</v>
      </c>
      <c r="AH52" s="20" t="s">
        <v>212</v>
      </c>
      <c r="AI52" s="20" t="s">
        <v>488</v>
      </c>
      <c r="AJ52" s="20" t="s">
        <v>126</v>
      </c>
      <c r="AK52" s="20" t="s">
        <v>175</v>
      </c>
      <c r="AL52" s="20" t="s">
        <v>175</v>
      </c>
      <c r="AM52" s="20" t="s">
        <v>175</v>
      </c>
      <c r="AN52" s="20" t="s">
        <v>493</v>
      </c>
      <c r="AO52" s="42" t="s">
        <v>467</v>
      </c>
      <c r="AP52" s="46" t="s">
        <v>490</v>
      </c>
      <c r="AQ52" s="19" t="s">
        <v>648</v>
      </c>
      <c r="AR52" s="200" t="s">
        <v>923</v>
      </c>
      <c r="AS52" s="19" t="s">
        <v>175</v>
      </c>
      <c r="AU52" s="180" t="s">
        <v>170</v>
      </c>
      <c r="AV52" s="181"/>
      <c r="AW52" s="182"/>
      <c r="AX52" s="180"/>
      <c r="AY52" s="181" t="s">
        <v>170</v>
      </c>
      <c r="AZ52" s="182"/>
      <c r="BA52" s="180"/>
      <c r="BB52" s="181"/>
      <c r="BC52" s="182"/>
    </row>
    <row r="53" spans="1:55" ht="63.65" customHeight="1" x14ac:dyDescent="0.55000000000000004">
      <c r="A53" s="198" t="s">
        <v>175</v>
      </c>
      <c r="B53" s="19" t="s">
        <v>171</v>
      </c>
      <c r="C53" s="19">
        <v>49</v>
      </c>
      <c r="D53" s="19" t="s">
        <v>136</v>
      </c>
      <c r="E53" s="19" t="s">
        <v>138</v>
      </c>
      <c r="F53" s="19" t="str">
        <f>IFERROR(VLOOKUP(E53,TABLE!$A$27:$B$48,2,FALSE),"")</f>
        <v>ACCORD</v>
      </c>
      <c r="G53" s="19" t="s">
        <v>175</v>
      </c>
      <c r="H53" s="19" t="s">
        <v>175</v>
      </c>
      <c r="I53" s="19" t="s">
        <v>175</v>
      </c>
      <c r="J53" s="19" t="s">
        <v>220</v>
      </c>
      <c r="K53" s="20"/>
      <c r="L53" s="20">
        <v>1</v>
      </c>
      <c r="M53" s="20" t="s">
        <v>494</v>
      </c>
      <c r="N53" s="19" t="s">
        <v>175</v>
      </c>
      <c r="O53" s="194">
        <v>45322</v>
      </c>
      <c r="P53" s="194">
        <v>45322</v>
      </c>
      <c r="Q53" s="20" t="s">
        <v>495</v>
      </c>
      <c r="R53" s="20" t="s">
        <v>496</v>
      </c>
      <c r="S53" s="20">
        <f>IFERROR(VLOOKUP(W53,'TB 各拠点LCM搭載機種一覧 (全拠点）'!$C$12:$K$14,8,FALSE),"")</f>
        <v>4281316802</v>
      </c>
      <c r="T53" s="20" t="str">
        <f>IFERROR(VLOOKUP(W53,'TB 各拠点LCM搭載機種一覧 (全拠点）'!$C$12:$K$14,9,FALSE),"")</f>
        <v>W5882M/LIGHT CNTRL</v>
      </c>
      <c r="U53" s="20" t="s">
        <v>175</v>
      </c>
      <c r="V53" s="20" t="s">
        <v>605</v>
      </c>
      <c r="W53" s="19" t="s">
        <v>195</v>
      </c>
      <c r="X53" s="20" t="s">
        <v>497</v>
      </c>
      <c r="Y53" s="20" t="str">
        <f>IFERROR(VLOOKUP(W53,'TB 各拠点LCM搭載機種一覧 (全拠点）'!$C$12:$K$14,2,FALSE),"")</f>
        <v>33100-30E -H020-62</v>
      </c>
      <c r="Z53" s="20" t="str">
        <f>IFERROR(VLOOKUP(W53,'TB 各拠点LCM搭載機種一覧 (全拠点）'!$C$12:$K$14,3,FALSE),"")</f>
        <v>MEAX</v>
      </c>
      <c r="AA53" s="20" t="str">
        <f>IFERROR(VLOOKUP(W53,'TB 各拠点LCM搭載機種一覧 (全拠点）'!$C$12:$K$14,4,FALSE),"")</f>
        <v>Low</v>
      </c>
      <c r="AB53" s="192">
        <v>45295</v>
      </c>
      <c r="AC53" s="25" t="str" cm="1">
        <f t="array" ref="AC53">IFERROR(INDEX(TABLE!$D$5:$D$18,MATCH(1,(TABLE!$A$5:$A$18=D53)*(TABLE!$B$5:$B$18&lt;=AB53)*(TABLE!$C$5:$C$18&gt;=AB53),0)),"対策前")</f>
        <v>T対策2</v>
      </c>
      <c r="AD53" s="28" t="s">
        <v>840</v>
      </c>
      <c r="AE53" s="20" t="s">
        <v>498</v>
      </c>
      <c r="AF53" s="20" t="s">
        <v>184</v>
      </c>
      <c r="AG53" s="19" t="s">
        <v>160</v>
      </c>
      <c r="AH53" s="20" t="s">
        <v>127</v>
      </c>
      <c r="AI53" s="20" t="s">
        <v>126</v>
      </c>
      <c r="AJ53" s="20" t="s">
        <v>357</v>
      </c>
      <c r="AK53" s="20" t="s">
        <v>175</v>
      </c>
      <c r="AL53" s="20" t="s">
        <v>175</v>
      </c>
      <c r="AM53" s="20" t="s">
        <v>175</v>
      </c>
      <c r="AN53" s="20" t="s">
        <v>499</v>
      </c>
      <c r="AO53" s="42" t="s">
        <v>500</v>
      </c>
      <c r="AP53" s="46" t="s">
        <v>490</v>
      </c>
      <c r="AQ53" s="19" t="s">
        <v>648</v>
      </c>
      <c r="AR53" s="200" t="s">
        <v>924</v>
      </c>
      <c r="AS53" s="19" t="s">
        <v>175</v>
      </c>
      <c r="AU53" s="180" t="s">
        <v>170</v>
      </c>
      <c r="AV53" s="181"/>
      <c r="AW53" s="182"/>
      <c r="AX53" s="180"/>
      <c r="AY53" s="181" t="s">
        <v>170</v>
      </c>
      <c r="AZ53" s="182"/>
      <c r="BA53" s="180"/>
      <c r="BB53" s="181"/>
      <c r="BC53" s="182"/>
    </row>
    <row r="54" spans="1:55" ht="63.65" customHeight="1" x14ac:dyDescent="0.55000000000000004">
      <c r="A54" s="198" t="s">
        <v>175</v>
      </c>
      <c r="B54" s="19" t="s">
        <v>171</v>
      </c>
      <c r="C54" s="19">
        <v>50</v>
      </c>
      <c r="D54" s="19" t="s">
        <v>136</v>
      </c>
      <c r="E54" s="19" t="s">
        <v>138</v>
      </c>
      <c r="F54" s="19" t="str">
        <f>IFERROR(VLOOKUP(E54,TABLE!$A$27:$B$48,2,FALSE),"")</f>
        <v>ACCORD</v>
      </c>
      <c r="G54" s="19" t="s">
        <v>175</v>
      </c>
      <c r="H54" s="19" t="s">
        <v>191</v>
      </c>
      <c r="I54" s="19" t="s">
        <v>175</v>
      </c>
      <c r="J54" s="19" t="s">
        <v>177</v>
      </c>
      <c r="K54" s="20" t="s">
        <v>175</v>
      </c>
      <c r="L54" s="20">
        <v>1</v>
      </c>
      <c r="M54" s="20" t="s">
        <v>175</v>
      </c>
      <c r="N54" s="19" t="s">
        <v>140</v>
      </c>
      <c r="O54" s="195">
        <v>45344</v>
      </c>
      <c r="P54" s="195">
        <v>45307</v>
      </c>
      <c r="Q54" s="20" t="s">
        <v>501</v>
      </c>
      <c r="R54" s="20" t="s">
        <v>502</v>
      </c>
      <c r="S54" s="20">
        <f>IFERROR(VLOOKUP(W54,'TB 各拠点LCM搭載機種一覧 (全拠点）'!$C$12:$K$14,8,FALSE),"")</f>
        <v>4281316802</v>
      </c>
      <c r="T54" s="20" t="str">
        <f>IFERROR(VLOOKUP(W54,'TB 各拠点LCM搭載機種一覧 (全拠点）'!$C$12:$K$14,9,FALSE),"")</f>
        <v>W5882M/LIGHT CNTRL</v>
      </c>
      <c r="U54" s="20" t="s">
        <v>153</v>
      </c>
      <c r="V54" s="20" t="s">
        <v>605</v>
      </c>
      <c r="W54" s="19" t="s">
        <v>195</v>
      </c>
      <c r="X54" s="20" t="s">
        <v>503</v>
      </c>
      <c r="Y54" s="20" t="str">
        <f>IFERROR(VLOOKUP(W54,'TB 各拠点LCM搭載機種一覧 (全拠点）'!$C$12:$K$14,2,FALSE),"")</f>
        <v>33100-30E -H020-62</v>
      </c>
      <c r="Z54" s="20" t="str">
        <f>IFERROR(VLOOKUP(W54,'TB 各拠点LCM搭載機種一覧 (全拠点）'!$C$12:$K$14,3,FALSE),"")</f>
        <v>MEAX</v>
      </c>
      <c r="AA54" s="20" t="str">
        <f>IFERROR(VLOOKUP(W54,'TB 各拠点LCM搭載機種一覧 (全拠点）'!$C$12:$K$14,4,FALSE),"")</f>
        <v>Low</v>
      </c>
      <c r="AB54" s="193">
        <v>45299</v>
      </c>
      <c r="AC54" s="25" t="str" cm="1">
        <f t="array" ref="AC54">IFERROR(INDEX(TABLE!$D$5:$D$18,MATCH(1,(TABLE!$A$5:$A$18=D54)*(TABLE!$B$5:$B$18&lt;=AB54)*(TABLE!$C$5:$C$18&gt;=AB54),0)),"対策前")</f>
        <v>T対策2</v>
      </c>
      <c r="AD54" s="28" t="s">
        <v>841</v>
      </c>
      <c r="AE54" s="20" t="s">
        <v>504</v>
      </c>
      <c r="AF54" s="20" t="s">
        <v>184</v>
      </c>
      <c r="AG54" s="19" t="s">
        <v>506</v>
      </c>
      <c r="AH54" s="20" t="s">
        <v>175</v>
      </c>
      <c r="AI54" s="20" t="s">
        <v>175</v>
      </c>
      <c r="AJ54" s="20" t="s">
        <v>175</v>
      </c>
      <c r="AK54" s="20" t="s">
        <v>175</v>
      </c>
      <c r="AL54" s="20" t="s">
        <v>175</v>
      </c>
      <c r="AM54" s="20" t="s">
        <v>175</v>
      </c>
      <c r="AN54" s="20" t="s">
        <v>175</v>
      </c>
      <c r="AO54" s="42" t="s">
        <v>154</v>
      </c>
      <c r="AP54" s="42" t="s">
        <v>505</v>
      </c>
      <c r="AQ54" s="19" t="s">
        <v>648</v>
      </c>
      <c r="AR54" s="200" t="s">
        <v>47</v>
      </c>
      <c r="AS54" s="19" t="s">
        <v>175</v>
      </c>
      <c r="AU54" s="180"/>
      <c r="AV54" s="181"/>
      <c r="AW54" s="182" t="s">
        <v>170</v>
      </c>
      <c r="AX54" s="180" t="s">
        <v>170</v>
      </c>
      <c r="AY54" s="181" t="s">
        <v>170</v>
      </c>
      <c r="AZ54" s="182"/>
      <c r="BA54" s="180"/>
      <c r="BB54" s="181"/>
      <c r="BC54" s="182"/>
    </row>
    <row r="55" spans="1:55" ht="63.65" customHeight="1" x14ac:dyDescent="0.55000000000000004">
      <c r="A55" s="198" t="s">
        <v>175</v>
      </c>
      <c r="B55" s="19" t="s">
        <v>171</v>
      </c>
      <c r="C55" s="177">
        <v>51</v>
      </c>
      <c r="D55" s="19" t="s">
        <v>136</v>
      </c>
      <c r="E55" s="19" t="s">
        <v>138</v>
      </c>
      <c r="F55" s="19" t="str">
        <f>IFERROR(VLOOKUP(E55,TABLE!$A$27:$B$48,2,FALSE),"")</f>
        <v>ACCORD</v>
      </c>
      <c r="G55" s="19" t="s">
        <v>175</v>
      </c>
      <c r="H55" s="19" t="s">
        <v>139</v>
      </c>
      <c r="I55" s="19" t="s">
        <v>175</v>
      </c>
      <c r="J55" s="19" t="s">
        <v>177</v>
      </c>
      <c r="K55" s="20" t="s">
        <v>175</v>
      </c>
      <c r="L55" s="20">
        <v>1</v>
      </c>
      <c r="M55" s="20" t="s">
        <v>175</v>
      </c>
      <c r="N55" s="19" t="s">
        <v>140</v>
      </c>
      <c r="O55" s="194">
        <v>45349</v>
      </c>
      <c r="P55" s="194">
        <v>45344</v>
      </c>
      <c r="Q55" s="20" t="s">
        <v>495</v>
      </c>
      <c r="R55" s="20" t="s">
        <v>507</v>
      </c>
      <c r="S55" s="20">
        <f>IFERROR(VLOOKUP(W55,'TB 各拠点LCM搭載機種一覧 (全拠点）'!$C$12:$K$14,8,FALSE),"")</f>
        <v>4281316802</v>
      </c>
      <c r="T55" s="20" t="str">
        <f>IFERROR(VLOOKUP(W55,'TB 各拠点LCM搭載機種一覧 (全拠点）'!$C$12:$K$14,9,FALSE),"")</f>
        <v>W5882M/LIGHT CNTRL</v>
      </c>
      <c r="U55" s="20" t="s">
        <v>156</v>
      </c>
      <c r="V55" s="20" t="s">
        <v>605</v>
      </c>
      <c r="W55" s="19" t="s">
        <v>195</v>
      </c>
      <c r="X55" s="20" t="s">
        <v>508</v>
      </c>
      <c r="Y55" s="20" t="str">
        <f>IFERROR(VLOOKUP(W55,'TB 各拠点LCM搭載機種一覧 (全拠点）'!$C$12:$K$14,2,FALSE),"")</f>
        <v>33100-30E -H020-62</v>
      </c>
      <c r="Z55" s="20" t="str">
        <f>IFERROR(VLOOKUP(W55,'TB 各拠点LCM搭載機種一覧 (全拠点）'!$C$12:$K$14,3,FALSE),"")</f>
        <v>MEAX</v>
      </c>
      <c r="AA55" s="20" t="str">
        <f>IFERROR(VLOOKUP(W55,'TB 各拠点LCM搭載機種一覧 (全拠点）'!$C$12:$K$14,4,FALSE),"")</f>
        <v>Low</v>
      </c>
      <c r="AB55" s="192">
        <v>45307</v>
      </c>
      <c r="AC55" s="25" t="str" cm="1">
        <f t="array" ref="AC55">IFERROR(INDEX(TABLE!$D$5:$D$18,MATCH(1,(TABLE!$A$5:$A$18=D55)*(TABLE!$B$5:$B$18&lt;=AB55)*(TABLE!$C$5:$C$18&gt;=AB55),0)),"対策前")</f>
        <v>T対策2</v>
      </c>
      <c r="AD55" s="28" t="s">
        <v>842</v>
      </c>
      <c r="AE55" s="20" t="s">
        <v>506</v>
      </c>
      <c r="AF55" s="20" t="s">
        <v>184</v>
      </c>
      <c r="AG55" s="19" t="s">
        <v>506</v>
      </c>
      <c r="AH55" s="20" t="s">
        <v>175</v>
      </c>
      <c r="AI55" s="20" t="s">
        <v>175</v>
      </c>
      <c r="AJ55" s="20" t="s">
        <v>175</v>
      </c>
      <c r="AK55" s="20" t="s">
        <v>175</v>
      </c>
      <c r="AL55" s="20" t="s">
        <v>175</v>
      </c>
      <c r="AM55" s="20" t="s">
        <v>175</v>
      </c>
      <c r="AN55" s="20" t="s">
        <v>175</v>
      </c>
      <c r="AO55" s="42" t="s">
        <v>154</v>
      </c>
      <c r="AP55" s="42" t="s">
        <v>509</v>
      </c>
      <c r="AQ55" s="19" t="s">
        <v>648</v>
      </c>
      <c r="AR55" s="200" t="s">
        <v>47</v>
      </c>
      <c r="AS55" s="19" t="s">
        <v>175</v>
      </c>
      <c r="AU55" s="180"/>
      <c r="AV55" s="181"/>
      <c r="AW55" s="182" t="s">
        <v>170</v>
      </c>
      <c r="AX55" s="180" t="s">
        <v>170</v>
      </c>
      <c r="AY55" s="181" t="s">
        <v>170</v>
      </c>
      <c r="AZ55" s="182"/>
      <c r="BA55" s="180"/>
      <c r="BB55" s="181"/>
      <c r="BC55" s="182"/>
    </row>
    <row r="56" spans="1:55" ht="63.65" customHeight="1" x14ac:dyDescent="0.55000000000000004">
      <c r="A56" s="198" t="s">
        <v>175</v>
      </c>
      <c r="B56" s="19" t="s">
        <v>171</v>
      </c>
      <c r="C56" s="177">
        <v>52</v>
      </c>
      <c r="D56" s="19" t="s">
        <v>136</v>
      </c>
      <c r="E56" s="19" t="s">
        <v>174</v>
      </c>
      <c r="F56" s="19" t="str">
        <f>IFERROR(VLOOKUP(E56,TABLE!$A$27:$B$48,2,FALSE),"")</f>
        <v>CR-V</v>
      </c>
      <c r="G56" s="19" t="s">
        <v>175</v>
      </c>
      <c r="H56" s="19" t="s">
        <v>191</v>
      </c>
      <c r="I56" s="19" t="s">
        <v>175</v>
      </c>
      <c r="J56" s="19" t="s">
        <v>177</v>
      </c>
      <c r="K56" s="20" t="s">
        <v>175</v>
      </c>
      <c r="L56" s="20">
        <v>1</v>
      </c>
      <c r="M56" s="20" t="s">
        <v>175</v>
      </c>
      <c r="N56" s="19" t="s">
        <v>178</v>
      </c>
      <c r="O56" s="195">
        <v>45359</v>
      </c>
      <c r="P56" s="195">
        <v>45357</v>
      </c>
      <c r="Q56" s="20" t="s">
        <v>510</v>
      </c>
      <c r="R56" s="20" t="s">
        <v>511</v>
      </c>
      <c r="S56" s="20">
        <f>IFERROR(VLOOKUP(W56,'TB 各拠点LCM搭載機種一覧 (全拠点）'!$C$12:$K$14,8,FALSE),"")</f>
        <v>1480820503</v>
      </c>
      <c r="T56" s="20" t="str">
        <f>IFERROR(VLOOKUP(W56,'TB 各拠点LCM搭載機種一覧 (全拠点）'!$C$12:$K$14,9,FALSE),"")</f>
        <v>W6250M/LIGHT CNTRL</v>
      </c>
      <c r="U56" s="20" t="s">
        <v>147</v>
      </c>
      <c r="V56" s="20" t="s">
        <v>605</v>
      </c>
      <c r="W56" s="19" t="s">
        <v>181</v>
      </c>
      <c r="X56" s="20" t="s">
        <v>512</v>
      </c>
      <c r="Y56" s="20" t="str">
        <f>IFERROR(VLOOKUP(W56,'TB 各拠点LCM搭載機種一覧 (全拠点）'!$C$12:$K$14,2,FALSE),"")</f>
        <v>33109-3A0 -A040-62</v>
      </c>
      <c r="Z56" s="20" t="str">
        <f>IFERROR(VLOOKUP(W56,'TB 各拠点LCM搭載機種一覧 (全拠点）'!$C$12:$K$14,3,FALSE),"")</f>
        <v>MEAX</v>
      </c>
      <c r="AA56" s="20" t="str">
        <f>IFERROR(VLOOKUP(W56,'TB 各拠点LCM搭載機種一覧 (全拠点）'!$C$12:$K$14,4,FALSE),"")</f>
        <v>Low</v>
      </c>
      <c r="AB56" s="193">
        <v>45337</v>
      </c>
      <c r="AC56" s="25" t="str" cm="1">
        <f t="array" ref="AC56">IFERROR(INDEX(TABLE!$D$5:$D$18,MATCH(1,(TABLE!$A$5:$A$18=D56)*(TABLE!$B$5:$B$18&lt;=AB56)*(TABLE!$C$5:$C$18&gt;=AB56),0)),"対策前")</f>
        <v>T対策2</v>
      </c>
      <c r="AD56" s="28" t="s">
        <v>843</v>
      </c>
      <c r="AE56" s="20" t="s">
        <v>513</v>
      </c>
      <c r="AF56" s="20" t="s">
        <v>175</v>
      </c>
      <c r="AG56" s="19" t="s">
        <v>160</v>
      </c>
      <c r="AH56" s="20" t="s">
        <v>175</v>
      </c>
      <c r="AI56" s="20" t="s">
        <v>175</v>
      </c>
      <c r="AJ56" s="20" t="s">
        <v>175</v>
      </c>
      <c r="AK56" s="20" t="s">
        <v>175</v>
      </c>
      <c r="AL56" s="20" t="s">
        <v>175</v>
      </c>
      <c r="AM56" s="20" t="s">
        <v>175</v>
      </c>
      <c r="AN56" s="20" t="s">
        <v>175</v>
      </c>
      <c r="AO56" s="42" t="s">
        <v>514</v>
      </c>
      <c r="AP56" s="46" t="s">
        <v>515</v>
      </c>
      <c r="AQ56" s="19" t="s">
        <v>648</v>
      </c>
      <c r="AR56" s="200" t="s">
        <v>924</v>
      </c>
      <c r="AS56" s="19" t="s">
        <v>175</v>
      </c>
      <c r="AU56" s="180" t="s">
        <v>170</v>
      </c>
      <c r="AV56" s="181"/>
      <c r="AW56" s="182"/>
      <c r="AX56" s="180"/>
      <c r="AY56" s="181" t="s">
        <v>170</v>
      </c>
      <c r="AZ56" s="182"/>
      <c r="BA56" s="180"/>
      <c r="BB56" s="181"/>
      <c r="BC56" s="182"/>
    </row>
    <row r="57" spans="1:55" ht="63.65" customHeight="1" x14ac:dyDescent="0.55000000000000004">
      <c r="A57" s="198" t="s">
        <v>175</v>
      </c>
      <c r="B57" s="19" t="s">
        <v>516</v>
      </c>
      <c r="C57" s="177">
        <v>53</v>
      </c>
      <c r="D57" s="19" t="s">
        <v>136</v>
      </c>
      <c r="E57" s="19" t="s">
        <v>174</v>
      </c>
      <c r="F57" s="19" t="str">
        <f>IFERROR(VLOOKUP(E57,TABLE!$A$27:$B$48,2,FALSE),"")</f>
        <v>CR-V</v>
      </c>
      <c r="G57" s="19" t="s">
        <v>175</v>
      </c>
      <c r="H57" s="19" t="s">
        <v>139</v>
      </c>
      <c r="I57" s="19" t="s">
        <v>175</v>
      </c>
      <c r="J57" s="19" t="s">
        <v>177</v>
      </c>
      <c r="K57" s="20" t="s">
        <v>175</v>
      </c>
      <c r="L57" s="20">
        <v>1</v>
      </c>
      <c r="M57" s="20" t="s">
        <v>175</v>
      </c>
      <c r="N57" s="19" t="s">
        <v>290</v>
      </c>
      <c r="O57" s="194">
        <v>45364</v>
      </c>
      <c r="P57" s="194">
        <v>45357</v>
      </c>
      <c r="Q57" s="20" t="s">
        <v>474</v>
      </c>
      <c r="R57" s="20" t="s">
        <v>517</v>
      </c>
      <c r="S57" s="20">
        <f>IFERROR(VLOOKUP(W57,'TB 各拠点LCM搭載機種一覧 (全拠点）'!$C$12:$K$14,8,FALSE),"")</f>
        <v>1480820503</v>
      </c>
      <c r="T57" s="20" t="str">
        <f>IFERROR(VLOOKUP(W57,'TB 各拠点LCM搭載機種一覧 (全拠点）'!$C$12:$K$14,9,FALSE),"")</f>
        <v>W6250M/LIGHT CNTRL</v>
      </c>
      <c r="U57" s="20" t="s">
        <v>518</v>
      </c>
      <c r="V57" s="20" t="s">
        <v>605</v>
      </c>
      <c r="W57" s="19" t="s">
        <v>181</v>
      </c>
      <c r="X57" s="20" t="s">
        <v>519</v>
      </c>
      <c r="Y57" s="20" t="str">
        <f>IFERROR(VLOOKUP(W57,'TB 各拠点LCM搭載機種一覧 (全拠点）'!$C$12:$K$14,2,FALSE),"")</f>
        <v>33109-3A0 -A040-62</v>
      </c>
      <c r="Z57" s="20" t="str">
        <f>IFERROR(VLOOKUP(W57,'TB 各拠点LCM搭載機種一覧 (全拠点）'!$C$12:$K$14,3,FALSE),"")</f>
        <v>MEAX</v>
      </c>
      <c r="AA57" s="20" t="str">
        <f>IFERROR(VLOOKUP(W57,'TB 各拠点LCM搭載機種一覧 (全拠点）'!$C$12:$K$14,4,FALSE),"")</f>
        <v>Low</v>
      </c>
      <c r="AB57" s="192">
        <v>45329</v>
      </c>
      <c r="AC57" s="25" t="str" cm="1">
        <f t="array" ref="AC57">IFERROR(INDEX(TABLE!$D$5:$D$18,MATCH(1,(TABLE!$A$5:$A$18=D57)*(TABLE!$B$5:$B$18&lt;=AB57)*(TABLE!$C$5:$C$18&gt;=AB57),0)),"対策前")</f>
        <v>T対策2</v>
      </c>
      <c r="AD57" s="28" t="s">
        <v>844</v>
      </c>
      <c r="AE57" s="20" t="s">
        <v>476</v>
      </c>
      <c r="AF57" s="20" t="s">
        <v>175</v>
      </c>
      <c r="AG57" s="19" t="s">
        <v>161</v>
      </c>
      <c r="AH57" s="20" t="s">
        <v>212</v>
      </c>
      <c r="AI57" s="20" t="s">
        <v>126</v>
      </c>
      <c r="AJ57" s="20" t="s">
        <v>357</v>
      </c>
      <c r="AK57" s="20" t="s">
        <v>175</v>
      </c>
      <c r="AL57" s="20" t="s">
        <v>175</v>
      </c>
      <c r="AM57" s="20" t="s">
        <v>175</v>
      </c>
      <c r="AN57" s="20" t="s">
        <v>520</v>
      </c>
      <c r="AO57" s="42" t="s">
        <v>155</v>
      </c>
      <c r="AP57" s="46" t="s">
        <v>515</v>
      </c>
      <c r="AQ57" s="19" t="s">
        <v>648</v>
      </c>
      <c r="AR57" s="200" t="s">
        <v>923</v>
      </c>
      <c r="AS57" s="19" t="s">
        <v>175</v>
      </c>
      <c r="AU57" s="180" t="s">
        <v>170</v>
      </c>
      <c r="AV57" s="181"/>
      <c r="AW57" s="182"/>
      <c r="AX57" s="180"/>
      <c r="AY57" s="181" t="s">
        <v>170</v>
      </c>
      <c r="AZ57" s="182"/>
      <c r="BA57" s="180"/>
      <c r="BB57" s="181"/>
      <c r="BC57" s="182"/>
    </row>
    <row r="58" spans="1:55" ht="63.65" customHeight="1" x14ac:dyDescent="0.55000000000000004">
      <c r="A58" s="198" t="s">
        <v>175</v>
      </c>
      <c r="B58" s="19" t="s">
        <v>171</v>
      </c>
      <c r="C58" s="176">
        <v>54</v>
      </c>
      <c r="D58" s="19" t="s">
        <v>136</v>
      </c>
      <c r="E58" s="19" t="s">
        <v>138</v>
      </c>
      <c r="F58" s="19" t="str">
        <f>IFERROR(VLOOKUP(E58,TABLE!$A$27:$B$48,2,FALSE),"")</f>
        <v>ACCORD</v>
      </c>
      <c r="G58" s="19" t="s">
        <v>175</v>
      </c>
      <c r="H58" s="19" t="s">
        <v>139</v>
      </c>
      <c r="I58" s="19" t="s">
        <v>175</v>
      </c>
      <c r="J58" s="19" t="s">
        <v>177</v>
      </c>
      <c r="K58" s="20" t="s">
        <v>175</v>
      </c>
      <c r="L58" s="20">
        <v>1</v>
      </c>
      <c r="M58" s="20" t="s">
        <v>175</v>
      </c>
      <c r="N58" s="19" t="s">
        <v>140</v>
      </c>
      <c r="O58" s="195">
        <v>45384</v>
      </c>
      <c r="P58" s="195">
        <v>45380</v>
      </c>
      <c r="Q58" s="20" t="s">
        <v>895</v>
      </c>
      <c r="R58" s="20" t="s">
        <v>521</v>
      </c>
      <c r="S58" s="20">
        <f>IFERROR(VLOOKUP(W58,'TB 各拠点LCM搭載機種一覧 (全拠点）'!$C$12:$K$14,8,FALSE),"")</f>
        <v>4281316802</v>
      </c>
      <c r="T58" s="20" t="str">
        <f>IFERROR(VLOOKUP(W58,'TB 各拠点LCM搭載機種一覧 (全拠点）'!$C$12:$K$14,9,FALSE),"")</f>
        <v>W5882M/LIGHT CNTRL</v>
      </c>
      <c r="U58" s="20" t="s">
        <v>156</v>
      </c>
      <c r="V58" s="20" t="s">
        <v>605</v>
      </c>
      <c r="W58" s="19" t="s">
        <v>195</v>
      </c>
      <c r="X58" s="20" t="s">
        <v>522</v>
      </c>
      <c r="Y58" s="20" t="str">
        <f>IFERROR(VLOOKUP(W58,'TB 各拠点LCM搭載機種一覧 (全拠点）'!$C$12:$K$14,2,FALSE),"")</f>
        <v>33100-30E -H020-62</v>
      </c>
      <c r="Z58" s="20" t="str">
        <f>IFERROR(VLOOKUP(W58,'TB 各拠点LCM搭載機種一覧 (全拠点）'!$C$12:$K$14,3,FALSE),"")</f>
        <v>MEAX</v>
      </c>
      <c r="AA58" s="20" t="str">
        <f>IFERROR(VLOOKUP(W58,'TB 各拠点LCM搭載機種一覧 (全拠点）'!$C$12:$K$14,4,FALSE),"")</f>
        <v>Low</v>
      </c>
      <c r="AB58" s="193">
        <v>45338</v>
      </c>
      <c r="AC58" s="25" t="str" cm="1">
        <f t="array" ref="AC58">IFERROR(INDEX(TABLE!$D$5:$D$18,MATCH(1,(TABLE!$A$5:$A$18=D58)*(TABLE!$B$5:$B$18&lt;=AB58)*(TABLE!$C$5:$C$18&gt;=AB58),0)),"対策前")</f>
        <v>T対策2</v>
      </c>
      <c r="AD58" s="28" t="s">
        <v>523</v>
      </c>
      <c r="AE58" s="20" t="s">
        <v>894</v>
      </c>
      <c r="AF58" s="20" t="s">
        <v>524</v>
      </c>
      <c r="AG58" s="19" t="s">
        <v>527</v>
      </c>
      <c r="AH58" s="20" t="s">
        <v>127</v>
      </c>
      <c r="AI58" s="20" t="s">
        <v>127</v>
      </c>
      <c r="AJ58" s="20" t="s">
        <v>127</v>
      </c>
      <c r="AK58" s="20" t="s">
        <v>175</v>
      </c>
      <c r="AL58" s="20" t="s">
        <v>175</v>
      </c>
      <c r="AM58" s="20" t="s">
        <v>126</v>
      </c>
      <c r="AN58" s="20" t="s">
        <v>126</v>
      </c>
      <c r="AO58" s="42" t="s">
        <v>525</v>
      </c>
      <c r="AP58" s="46" t="s">
        <v>526</v>
      </c>
      <c r="AQ58" s="19" t="s">
        <v>648</v>
      </c>
      <c r="AR58" s="200" t="s">
        <v>924</v>
      </c>
      <c r="AS58" s="19" t="s">
        <v>175</v>
      </c>
      <c r="AU58" s="180" t="s">
        <v>170</v>
      </c>
      <c r="AV58" s="181"/>
      <c r="AW58" s="182"/>
      <c r="AX58" s="180"/>
      <c r="AY58" s="181" t="s">
        <v>170</v>
      </c>
      <c r="AZ58" s="182"/>
      <c r="BA58" s="180"/>
      <c r="BB58" s="181"/>
      <c r="BC58" s="182"/>
    </row>
    <row r="59" spans="1:55" ht="63.65" customHeight="1" x14ac:dyDescent="0.55000000000000004">
      <c r="A59" s="198" t="s">
        <v>175</v>
      </c>
      <c r="B59" s="19" t="s">
        <v>516</v>
      </c>
      <c r="C59" s="176">
        <v>55</v>
      </c>
      <c r="D59" s="19" t="s">
        <v>136</v>
      </c>
      <c r="E59" s="19" t="s">
        <v>174</v>
      </c>
      <c r="F59" s="19" t="str">
        <f>IFERROR(VLOOKUP(E59,TABLE!$A$27:$B$48,2,FALSE),"")</f>
        <v>CR-V</v>
      </c>
      <c r="G59" s="19" t="s">
        <v>175</v>
      </c>
      <c r="H59" s="19" t="s">
        <v>139</v>
      </c>
      <c r="I59" s="19" t="s">
        <v>175</v>
      </c>
      <c r="J59" s="19" t="s">
        <v>177</v>
      </c>
      <c r="K59" s="20" t="s">
        <v>175</v>
      </c>
      <c r="L59" s="20">
        <v>1</v>
      </c>
      <c r="M59" s="20" t="s">
        <v>175</v>
      </c>
      <c r="N59" s="19" t="s">
        <v>178</v>
      </c>
      <c r="O59" s="194">
        <v>45392</v>
      </c>
      <c r="P59" s="194">
        <v>45387</v>
      </c>
      <c r="Q59" s="20" t="s">
        <v>528</v>
      </c>
      <c r="R59" s="20" t="s">
        <v>529</v>
      </c>
      <c r="S59" s="20">
        <f>IFERROR(VLOOKUP(W59,'TB 各拠点LCM搭載機種一覧 (全拠点）'!$C$12:$K$14,8,FALSE),"")</f>
        <v>1480820503</v>
      </c>
      <c r="T59" s="20" t="str">
        <f>IFERROR(VLOOKUP(W59,'TB 各拠点LCM搭載機種一覧 (全拠点）'!$C$12:$K$14,9,FALSE),"")</f>
        <v>W6250M/LIGHT CNTRL</v>
      </c>
      <c r="U59" s="20" t="s">
        <v>152</v>
      </c>
      <c r="V59" s="20" t="s">
        <v>605</v>
      </c>
      <c r="W59" s="19" t="s">
        <v>181</v>
      </c>
      <c r="X59" s="20" t="s">
        <v>530</v>
      </c>
      <c r="Y59" s="20" t="str">
        <f>IFERROR(VLOOKUP(W59,'TB 各拠点LCM搭載機種一覧 (全拠点）'!$C$12:$K$14,2,FALSE),"")</f>
        <v>33109-3A0 -A040-62</v>
      </c>
      <c r="Z59" s="20" t="str">
        <f>IFERROR(VLOOKUP(W59,'TB 各拠点LCM搭載機種一覧 (全拠点）'!$C$12:$K$14,3,FALSE),"")</f>
        <v>MEAX</v>
      </c>
      <c r="AA59" s="20" t="str">
        <f>IFERROR(VLOOKUP(W59,'TB 各拠点LCM搭載機種一覧 (全拠点）'!$C$12:$K$14,4,FALSE),"")</f>
        <v>Low</v>
      </c>
      <c r="AB59" s="192">
        <v>45358</v>
      </c>
      <c r="AC59" s="25" t="str" cm="1">
        <f t="array" ref="AC59">IFERROR(INDEX(TABLE!$D$5:$D$18,MATCH(1,(TABLE!$A$5:$A$18=D59)*(TABLE!$B$5:$B$18&lt;=AB59)*(TABLE!$C$5:$C$18&gt;=AB59),0)),"対策前")</f>
        <v>T対策3</v>
      </c>
      <c r="AD59" s="28" t="s">
        <v>531</v>
      </c>
      <c r="AE59" s="20" t="s">
        <v>532</v>
      </c>
      <c r="AF59" s="20" t="s">
        <v>524</v>
      </c>
      <c r="AG59" s="19" t="s">
        <v>161</v>
      </c>
      <c r="AH59" s="20" t="s">
        <v>212</v>
      </c>
      <c r="AI59" s="20" t="s">
        <v>488</v>
      </c>
      <c r="AJ59" s="20" t="s">
        <v>127</v>
      </c>
      <c r="AK59" s="20" t="s">
        <v>175</v>
      </c>
      <c r="AL59" s="20" t="s">
        <v>175</v>
      </c>
      <c r="AM59" s="47" t="s">
        <v>533</v>
      </c>
      <c r="AN59" s="47" t="s">
        <v>534</v>
      </c>
      <c r="AO59" s="42" t="s">
        <v>467</v>
      </c>
      <c r="AP59" s="46" t="s">
        <v>535</v>
      </c>
      <c r="AQ59" s="19" t="s">
        <v>648</v>
      </c>
      <c r="AR59" s="200" t="s">
        <v>923</v>
      </c>
      <c r="AS59" s="19" t="s">
        <v>175</v>
      </c>
      <c r="AU59" s="180" t="s">
        <v>170</v>
      </c>
      <c r="AV59" s="181"/>
      <c r="AW59" s="182"/>
      <c r="AX59" s="180"/>
      <c r="AY59" s="181" t="s">
        <v>170</v>
      </c>
      <c r="AZ59" s="182"/>
      <c r="BA59" s="180"/>
      <c r="BB59" s="181"/>
      <c r="BC59" s="182"/>
    </row>
    <row r="60" spans="1:55" ht="63.65" customHeight="1" x14ac:dyDescent="0.55000000000000004">
      <c r="A60" s="198" t="s">
        <v>175</v>
      </c>
      <c r="B60" s="19" t="s">
        <v>516</v>
      </c>
      <c r="C60" s="176">
        <v>56</v>
      </c>
      <c r="D60" s="19" t="s">
        <v>136</v>
      </c>
      <c r="E60" s="19" t="s">
        <v>138</v>
      </c>
      <c r="F60" s="19" t="str">
        <f>IFERROR(VLOOKUP(E60,TABLE!$A$27:$B$48,2,FALSE),"")</f>
        <v>ACCORD</v>
      </c>
      <c r="G60" s="19" t="s">
        <v>175</v>
      </c>
      <c r="H60" s="19" t="s">
        <v>139</v>
      </c>
      <c r="I60" s="19" t="s">
        <v>175</v>
      </c>
      <c r="J60" s="19" t="s">
        <v>177</v>
      </c>
      <c r="K60" s="20" t="s">
        <v>175</v>
      </c>
      <c r="L60" s="20">
        <v>1</v>
      </c>
      <c r="M60" s="20" t="s">
        <v>175</v>
      </c>
      <c r="N60" s="19" t="s">
        <v>140</v>
      </c>
      <c r="O60" s="195">
        <v>45407</v>
      </c>
      <c r="P60" s="195">
        <v>45401</v>
      </c>
      <c r="Q60" s="20" t="s">
        <v>536</v>
      </c>
      <c r="R60" s="20" t="s">
        <v>537</v>
      </c>
      <c r="S60" s="20">
        <f>IFERROR(VLOOKUP(W60,'TB 各拠点LCM搭載機種一覧 (全拠点）'!$C$12:$K$14,8,FALSE),"")</f>
        <v>4281316802</v>
      </c>
      <c r="T60" s="20" t="str">
        <f>IFERROR(VLOOKUP(W60,'TB 各拠点LCM搭載機種一覧 (全拠点）'!$C$12:$K$14,9,FALSE),"")</f>
        <v>W5882M/LIGHT CNTRL</v>
      </c>
      <c r="U60" s="20" t="s">
        <v>146</v>
      </c>
      <c r="V60" s="20" t="s">
        <v>605</v>
      </c>
      <c r="W60" s="19" t="s">
        <v>195</v>
      </c>
      <c r="X60" s="20" t="s">
        <v>538</v>
      </c>
      <c r="Y60" s="20" t="str">
        <f>IFERROR(VLOOKUP(W60,'TB 各拠点LCM搭載機種一覧 (全拠点）'!$C$12:$K$14,2,FALSE),"")</f>
        <v>33100-30E -H020-62</v>
      </c>
      <c r="Z60" s="20" t="str">
        <f>IFERROR(VLOOKUP(W60,'TB 各拠点LCM搭載機種一覧 (全拠点）'!$C$12:$K$14,3,FALSE),"")</f>
        <v>MEAX</v>
      </c>
      <c r="AA60" s="20" t="str">
        <f>IFERROR(VLOOKUP(W60,'TB 各拠点LCM搭載機種一覧 (全拠点）'!$C$12:$K$14,4,FALSE),"")</f>
        <v>Low</v>
      </c>
      <c r="AB60" s="193">
        <v>45363</v>
      </c>
      <c r="AC60" s="25" t="str" cm="1">
        <f t="array" ref="AC60">IFERROR(INDEX(TABLE!$D$5:$D$18,MATCH(1,(TABLE!$A$5:$A$18=D60)*(TABLE!$B$5:$B$18&lt;=AB60)*(TABLE!$C$5:$C$18&gt;=AB60),0)),"対策前")</f>
        <v>T対策3</v>
      </c>
      <c r="AD60" s="28" t="s">
        <v>539</v>
      </c>
      <c r="AE60" s="20" t="s">
        <v>540</v>
      </c>
      <c r="AF60" s="20" t="s">
        <v>524</v>
      </c>
      <c r="AG60" s="19" t="s">
        <v>161</v>
      </c>
      <c r="AH60" s="20" t="s">
        <v>212</v>
      </c>
      <c r="AI60" s="20" t="s">
        <v>127</v>
      </c>
      <c r="AJ60" s="20" t="s">
        <v>541</v>
      </c>
      <c r="AK60" s="20" t="s">
        <v>175</v>
      </c>
      <c r="AL60" s="20" t="s">
        <v>175</v>
      </c>
      <c r="AM60" s="47" t="s">
        <v>533</v>
      </c>
      <c r="AN60" s="47" t="s">
        <v>534</v>
      </c>
      <c r="AO60" s="42" t="s">
        <v>542</v>
      </c>
      <c r="AP60" s="46" t="s">
        <v>543</v>
      </c>
      <c r="AQ60" s="19" t="s">
        <v>648</v>
      </c>
      <c r="AR60" s="200" t="s">
        <v>923</v>
      </c>
      <c r="AS60" s="19" t="s">
        <v>175</v>
      </c>
      <c r="AU60" s="180" t="s">
        <v>170</v>
      </c>
      <c r="AV60" s="181"/>
      <c r="AW60" s="182"/>
      <c r="AX60" s="180"/>
      <c r="AY60" s="181" t="s">
        <v>170</v>
      </c>
      <c r="AZ60" s="182"/>
      <c r="BA60" s="180"/>
      <c r="BB60" s="181"/>
      <c r="BC60" s="182"/>
    </row>
    <row r="61" spans="1:55" ht="63.65" customHeight="1" x14ac:dyDescent="0.55000000000000004">
      <c r="A61" s="198" t="s">
        <v>175</v>
      </c>
      <c r="B61" s="20" t="s">
        <v>171</v>
      </c>
      <c r="C61" s="176">
        <v>57</v>
      </c>
      <c r="D61" s="19" t="s">
        <v>136</v>
      </c>
      <c r="E61" s="19" t="s">
        <v>138</v>
      </c>
      <c r="F61" s="19" t="str">
        <f>IFERROR(VLOOKUP(E61,TABLE!$A$27:$B$48,2,FALSE),"")</f>
        <v>ACCORD</v>
      </c>
      <c r="G61" s="19" t="s">
        <v>175</v>
      </c>
      <c r="H61" s="19" t="s">
        <v>191</v>
      </c>
      <c r="I61" s="19" t="s">
        <v>175</v>
      </c>
      <c r="J61" s="19" t="s">
        <v>177</v>
      </c>
      <c r="K61" s="20"/>
      <c r="L61" s="20">
        <v>1</v>
      </c>
      <c r="M61" s="20" t="s">
        <v>175</v>
      </c>
      <c r="N61" s="19" t="s">
        <v>140</v>
      </c>
      <c r="O61" s="194">
        <v>45394</v>
      </c>
      <c r="P61" s="194">
        <v>45391</v>
      </c>
      <c r="Q61" s="20" t="s">
        <v>896</v>
      </c>
      <c r="R61" s="20" t="s">
        <v>544</v>
      </c>
      <c r="S61" s="20">
        <f>IFERROR(VLOOKUP(W61,'TB 各拠点LCM搭載機種一覧 (全拠点）'!$C$12:$K$14,8,FALSE),"")</f>
        <v>4281316802</v>
      </c>
      <c r="T61" s="20" t="str">
        <f>IFERROR(VLOOKUP(W61,'TB 各拠点LCM搭載機種一覧 (全拠点）'!$C$12:$K$14,9,FALSE),"")</f>
        <v>W5882M/LIGHT CNTRL</v>
      </c>
      <c r="U61" s="20" t="s">
        <v>156</v>
      </c>
      <c r="V61" s="20" t="s">
        <v>605</v>
      </c>
      <c r="W61" s="19" t="s">
        <v>195</v>
      </c>
      <c r="X61" s="20" t="s">
        <v>545</v>
      </c>
      <c r="Y61" s="20" t="str">
        <f>IFERROR(VLOOKUP(W61,'TB 各拠点LCM搭載機種一覧 (全拠点）'!$C$12:$K$14,2,FALSE),"")</f>
        <v>33100-30E -H020-62</v>
      </c>
      <c r="Z61" s="20" t="str">
        <f>IFERROR(VLOOKUP(W61,'TB 各拠点LCM搭載機種一覧 (全拠点）'!$C$12:$K$14,3,FALSE),"")</f>
        <v>MEAX</v>
      </c>
      <c r="AA61" s="20" t="str">
        <f>IFERROR(VLOOKUP(W61,'TB 各拠点LCM搭載機種一覧 (全拠点）'!$C$12:$K$14,4,FALSE),"")</f>
        <v>Low</v>
      </c>
      <c r="AB61" s="192">
        <v>45342</v>
      </c>
      <c r="AC61" s="25" t="str" cm="1">
        <f t="array" ref="AC61">IFERROR(INDEX(TABLE!$D$5:$D$18,MATCH(1,(TABLE!$A$5:$A$18=D61)*(TABLE!$B$5:$B$18&lt;=AB61)*(TABLE!$C$5:$C$18&gt;=AB61),0)),"対策前")</f>
        <v>T対策2</v>
      </c>
      <c r="AD61" s="28" t="s">
        <v>546</v>
      </c>
      <c r="AE61" s="20" t="s">
        <v>547</v>
      </c>
      <c r="AF61" s="20" t="s">
        <v>524</v>
      </c>
      <c r="AG61" s="19" t="s">
        <v>506</v>
      </c>
      <c r="AH61" s="20" t="s">
        <v>175</v>
      </c>
      <c r="AI61" s="20" t="s">
        <v>175</v>
      </c>
      <c r="AJ61" s="20" t="s">
        <v>175</v>
      </c>
      <c r="AK61" s="20" t="s">
        <v>175</v>
      </c>
      <c r="AL61" s="20" t="s">
        <v>175</v>
      </c>
      <c r="AM61" s="20" t="s">
        <v>175</v>
      </c>
      <c r="AN61" s="20" t="s">
        <v>175</v>
      </c>
      <c r="AO61" s="42" t="s">
        <v>548</v>
      </c>
      <c r="AP61" s="20" t="s">
        <v>549</v>
      </c>
      <c r="AQ61" s="19" t="s">
        <v>648</v>
      </c>
      <c r="AR61" s="200" t="s">
        <v>47</v>
      </c>
      <c r="AS61" s="19" t="s">
        <v>175</v>
      </c>
      <c r="AU61" s="180"/>
      <c r="AV61" s="181"/>
      <c r="AW61" s="182" t="s">
        <v>170</v>
      </c>
      <c r="AX61" s="180"/>
      <c r="AY61" s="181" t="s">
        <v>170</v>
      </c>
      <c r="AZ61" s="182"/>
      <c r="BA61" s="180"/>
      <c r="BB61" s="181"/>
      <c r="BC61" s="182"/>
    </row>
    <row r="62" spans="1:55" ht="63.65" customHeight="1" x14ac:dyDescent="0.55000000000000004">
      <c r="A62" s="198" t="s">
        <v>175</v>
      </c>
      <c r="B62" s="20" t="s">
        <v>171</v>
      </c>
      <c r="C62" s="19">
        <v>58</v>
      </c>
      <c r="D62" s="19" t="s">
        <v>136</v>
      </c>
      <c r="E62" s="19" t="s">
        <v>138</v>
      </c>
      <c r="F62" s="19" t="str">
        <f>IFERROR(VLOOKUP(E62,TABLE!$A$27:$B$48,2,FALSE),"")</f>
        <v>ACCORD</v>
      </c>
      <c r="G62" s="19" t="s">
        <v>175</v>
      </c>
      <c r="H62" s="19" t="s">
        <v>191</v>
      </c>
      <c r="I62" s="19" t="s">
        <v>175</v>
      </c>
      <c r="J62" s="19" t="s">
        <v>177</v>
      </c>
      <c r="K62" s="20" t="s">
        <v>175</v>
      </c>
      <c r="L62" s="20">
        <v>1</v>
      </c>
      <c r="M62" s="20" t="s">
        <v>175</v>
      </c>
      <c r="N62" s="19" t="s">
        <v>140</v>
      </c>
      <c r="O62" s="195">
        <v>45394</v>
      </c>
      <c r="P62" s="195">
        <v>45391</v>
      </c>
      <c r="Q62" s="20" t="s">
        <v>897</v>
      </c>
      <c r="R62" s="20" t="s">
        <v>544</v>
      </c>
      <c r="S62" s="20">
        <f>IFERROR(VLOOKUP(W62,'TB 各拠点LCM搭載機種一覧 (全拠点）'!$C$12:$K$14,8,FALSE),"")</f>
        <v>4281316802</v>
      </c>
      <c r="T62" s="20" t="str">
        <f>IFERROR(VLOOKUP(W62,'TB 各拠点LCM搭載機種一覧 (全拠点）'!$C$12:$K$14,9,FALSE),"")</f>
        <v>W5882M/LIGHT CNTRL</v>
      </c>
      <c r="U62" s="20" t="s">
        <v>156</v>
      </c>
      <c r="V62" s="20" t="s">
        <v>605</v>
      </c>
      <c r="W62" s="19" t="s">
        <v>195</v>
      </c>
      <c r="X62" s="20" t="s">
        <v>550</v>
      </c>
      <c r="Y62" s="20" t="str">
        <f>IFERROR(VLOOKUP(W62,'TB 各拠点LCM搭載機種一覧 (全拠点）'!$C$12:$K$14,2,FALSE),"")</f>
        <v>33100-30E -H020-62</v>
      </c>
      <c r="Z62" s="20" t="str">
        <f>IFERROR(VLOOKUP(W62,'TB 各拠点LCM搭載機種一覧 (全拠点）'!$C$12:$K$14,3,FALSE),"")</f>
        <v>MEAX</v>
      </c>
      <c r="AA62" s="20" t="str">
        <f>IFERROR(VLOOKUP(W62,'TB 各拠点LCM搭載機種一覧 (全拠点）'!$C$12:$K$14,4,FALSE),"")</f>
        <v>Low</v>
      </c>
      <c r="AB62" s="193">
        <v>45356</v>
      </c>
      <c r="AC62" s="25" t="str" cm="1">
        <f t="array" ref="AC62">IFERROR(INDEX(TABLE!$D$5:$D$18,MATCH(1,(TABLE!$A$5:$A$18=D62)*(TABLE!$B$5:$B$18&lt;=AB62)*(TABLE!$C$5:$C$18&gt;=AB62),0)),"対策前")</f>
        <v>T対策3</v>
      </c>
      <c r="AD62" s="28" t="s">
        <v>546</v>
      </c>
      <c r="AE62" s="20" t="s">
        <v>547</v>
      </c>
      <c r="AF62" s="20" t="s">
        <v>524</v>
      </c>
      <c r="AG62" s="19" t="s">
        <v>506</v>
      </c>
      <c r="AH62" s="20" t="s">
        <v>175</v>
      </c>
      <c r="AI62" s="20" t="s">
        <v>175</v>
      </c>
      <c r="AJ62" s="20" t="s">
        <v>175</v>
      </c>
      <c r="AK62" s="20" t="s">
        <v>175</v>
      </c>
      <c r="AL62" s="20" t="s">
        <v>175</v>
      </c>
      <c r="AM62" s="20" t="s">
        <v>175</v>
      </c>
      <c r="AN62" s="20" t="s">
        <v>175</v>
      </c>
      <c r="AO62" s="42" t="s">
        <v>154</v>
      </c>
      <c r="AP62" s="20" t="s">
        <v>551</v>
      </c>
      <c r="AQ62" s="19" t="s">
        <v>648</v>
      </c>
      <c r="AR62" s="200" t="s">
        <v>47</v>
      </c>
      <c r="AS62" s="19" t="s">
        <v>175</v>
      </c>
      <c r="AU62" s="180"/>
      <c r="AV62" s="181"/>
      <c r="AW62" s="182" t="s">
        <v>170</v>
      </c>
      <c r="AX62" s="180"/>
      <c r="AY62" s="181" t="s">
        <v>170</v>
      </c>
      <c r="AZ62" s="182"/>
      <c r="BA62" s="180"/>
      <c r="BB62" s="181"/>
      <c r="BC62" s="182"/>
    </row>
    <row r="63" spans="1:55" ht="63.65" customHeight="1" x14ac:dyDescent="0.55000000000000004">
      <c r="A63" s="198" t="s">
        <v>175</v>
      </c>
      <c r="B63" s="19" t="s">
        <v>171</v>
      </c>
      <c r="C63" s="176">
        <v>59</v>
      </c>
      <c r="D63" s="19" t="s">
        <v>136</v>
      </c>
      <c r="E63" s="19" t="s">
        <v>138</v>
      </c>
      <c r="F63" s="19" t="str">
        <f>IFERROR(VLOOKUP(E63,TABLE!$A$27:$B$48,2,FALSE),"")</f>
        <v>ACCORD</v>
      </c>
      <c r="G63" s="19" t="s">
        <v>175</v>
      </c>
      <c r="H63" s="19" t="s">
        <v>139</v>
      </c>
      <c r="I63" s="19" t="s">
        <v>175</v>
      </c>
      <c r="J63" s="19" t="s">
        <v>177</v>
      </c>
      <c r="K63" s="20" t="s">
        <v>175</v>
      </c>
      <c r="L63" s="20">
        <v>1</v>
      </c>
      <c r="M63" s="20" t="s">
        <v>175</v>
      </c>
      <c r="N63" s="19" t="s">
        <v>140</v>
      </c>
      <c r="O63" s="194">
        <v>45417</v>
      </c>
      <c r="P63" s="194">
        <v>45413</v>
      </c>
      <c r="Q63" s="20" t="s">
        <v>898</v>
      </c>
      <c r="R63" s="20" t="s">
        <v>552</v>
      </c>
      <c r="S63" s="20">
        <f>IFERROR(VLOOKUP(W63,'TB 各拠点LCM搭載機種一覧 (全拠点）'!$C$12:$K$14,8,FALSE),"")</f>
        <v>4281316802</v>
      </c>
      <c r="T63" s="20" t="str">
        <f>IFERROR(VLOOKUP(W63,'TB 各拠点LCM搭載機種一覧 (全拠点）'!$C$12:$K$14,9,FALSE),"")</f>
        <v>W5882M/LIGHT CNTRL</v>
      </c>
      <c r="U63" s="20" t="s">
        <v>156</v>
      </c>
      <c r="V63" s="20" t="s">
        <v>605</v>
      </c>
      <c r="W63" s="19" t="s">
        <v>195</v>
      </c>
      <c r="X63" s="20" t="s">
        <v>553</v>
      </c>
      <c r="Y63" s="20" t="str">
        <f>IFERROR(VLOOKUP(W63,'TB 各拠点LCM搭載機種一覧 (全拠点）'!$C$12:$K$14,2,FALSE),"")</f>
        <v>33100-30E -H020-62</v>
      </c>
      <c r="Z63" s="20" t="str">
        <f>IFERROR(VLOOKUP(W63,'TB 各拠点LCM搭載機種一覧 (全拠点）'!$C$12:$K$14,3,FALSE),"")</f>
        <v>MEAX</v>
      </c>
      <c r="AA63" s="20" t="str">
        <f>IFERROR(VLOOKUP(W63,'TB 各拠点LCM搭載機種一覧 (全拠点）'!$C$12:$K$14,4,FALSE),"")</f>
        <v>Low</v>
      </c>
      <c r="AB63" s="192">
        <v>45362</v>
      </c>
      <c r="AC63" s="25" t="str" cm="1">
        <f t="array" ref="AC63">IFERROR(INDEX(TABLE!$D$5:$D$18,MATCH(1,(TABLE!$A$5:$A$18=D63)*(TABLE!$B$5:$B$18&lt;=AB63)*(TABLE!$C$5:$C$18&gt;=AB63),0)),"対策前")</f>
        <v>T対策3</v>
      </c>
      <c r="AD63" s="28" t="s">
        <v>554</v>
      </c>
      <c r="AE63" s="20" t="s">
        <v>555</v>
      </c>
      <c r="AF63" s="20" t="s">
        <v>524</v>
      </c>
      <c r="AG63" s="19" t="s">
        <v>506</v>
      </c>
      <c r="AH63" s="20" t="s">
        <v>175</v>
      </c>
      <c r="AI63" s="20" t="s">
        <v>175</v>
      </c>
      <c r="AJ63" s="20" t="s">
        <v>175</v>
      </c>
      <c r="AK63" s="20" t="s">
        <v>175</v>
      </c>
      <c r="AL63" s="20" t="s">
        <v>175</v>
      </c>
      <c r="AM63" s="20" t="s">
        <v>175</v>
      </c>
      <c r="AN63" s="20" t="s">
        <v>175</v>
      </c>
      <c r="AO63" s="42" t="s">
        <v>154</v>
      </c>
      <c r="AP63" s="20" t="s">
        <v>556</v>
      </c>
      <c r="AQ63" s="19" t="s">
        <v>648</v>
      </c>
      <c r="AR63" s="200" t="s">
        <v>47</v>
      </c>
      <c r="AS63" s="19" t="s">
        <v>175</v>
      </c>
      <c r="AU63" s="180"/>
      <c r="AV63" s="181"/>
      <c r="AW63" s="182" t="s">
        <v>170</v>
      </c>
      <c r="AX63" s="180" t="s">
        <v>170</v>
      </c>
      <c r="AY63" s="181"/>
      <c r="AZ63" s="182"/>
      <c r="BA63" s="180"/>
      <c r="BB63" s="181"/>
      <c r="BC63" s="182"/>
    </row>
    <row r="64" spans="1:55" ht="63.65" customHeight="1" x14ac:dyDescent="0.55000000000000004">
      <c r="A64" s="198" t="s">
        <v>175</v>
      </c>
      <c r="B64" s="19" t="s">
        <v>171</v>
      </c>
      <c r="C64" s="19">
        <v>60</v>
      </c>
      <c r="D64" s="19" t="s">
        <v>136</v>
      </c>
      <c r="E64" s="19" t="s">
        <v>138</v>
      </c>
      <c r="F64" s="19" t="str">
        <f>IFERROR(VLOOKUP(E64,TABLE!$A$27:$B$48,2,FALSE),"")</f>
        <v>ACCORD</v>
      </c>
      <c r="G64" s="19" t="s">
        <v>175</v>
      </c>
      <c r="H64" s="19" t="s">
        <v>139</v>
      </c>
      <c r="I64" s="19" t="s">
        <v>175</v>
      </c>
      <c r="J64" s="19" t="s">
        <v>177</v>
      </c>
      <c r="K64" s="20" t="s">
        <v>175</v>
      </c>
      <c r="L64" s="20">
        <v>1</v>
      </c>
      <c r="M64" s="20" t="s">
        <v>175</v>
      </c>
      <c r="N64" s="19" t="s">
        <v>140</v>
      </c>
      <c r="O64" s="195">
        <v>45417</v>
      </c>
      <c r="P64" s="195">
        <v>45415</v>
      </c>
      <c r="Q64" s="20" t="s">
        <v>157</v>
      </c>
      <c r="R64" s="20" t="s">
        <v>552</v>
      </c>
      <c r="S64" s="20">
        <f>IFERROR(VLOOKUP(W64,'TB 各拠点LCM搭載機種一覧 (全拠点）'!$C$12:$K$14,8,FALSE),"")</f>
        <v>4281316802</v>
      </c>
      <c r="T64" s="20" t="str">
        <f>IFERROR(VLOOKUP(W64,'TB 各拠点LCM搭載機種一覧 (全拠点）'!$C$12:$K$14,9,FALSE),"")</f>
        <v>W5882M/LIGHT CNTRL</v>
      </c>
      <c r="U64" s="20" t="s">
        <v>156</v>
      </c>
      <c r="V64" s="20" t="s">
        <v>605</v>
      </c>
      <c r="W64" s="19" t="s">
        <v>195</v>
      </c>
      <c r="X64" s="20" t="s">
        <v>557</v>
      </c>
      <c r="Y64" s="20" t="str">
        <f>IFERROR(VLOOKUP(W64,'TB 各拠点LCM搭載機種一覧 (全拠点）'!$C$12:$K$14,2,FALSE),"")</f>
        <v>33100-30E -H020-62</v>
      </c>
      <c r="Z64" s="20" t="str">
        <f>IFERROR(VLOOKUP(W64,'TB 各拠点LCM搭載機種一覧 (全拠点）'!$C$12:$K$14,3,FALSE),"")</f>
        <v>MEAX</v>
      </c>
      <c r="AA64" s="20" t="str">
        <f>IFERROR(VLOOKUP(W64,'TB 各拠点LCM搭載機種一覧 (全拠点）'!$C$12:$K$14,4,FALSE),"")</f>
        <v>Low</v>
      </c>
      <c r="AB64" s="193">
        <v>45390</v>
      </c>
      <c r="AC64" s="25" t="str" cm="1">
        <f t="array" ref="AC64">IFERROR(INDEX(TABLE!$D$5:$D$18,MATCH(1,(TABLE!$A$5:$A$18=D64)*(TABLE!$B$5:$B$18&lt;=AB64)*(TABLE!$C$5:$C$18&gt;=AB64),0)),"対策前")</f>
        <v>T対策3</v>
      </c>
      <c r="AD64" s="28" t="s">
        <v>554</v>
      </c>
      <c r="AE64" s="20" t="s">
        <v>555</v>
      </c>
      <c r="AF64" s="20" t="s">
        <v>524</v>
      </c>
      <c r="AG64" s="19" t="s">
        <v>506</v>
      </c>
      <c r="AH64" s="20" t="s">
        <v>175</v>
      </c>
      <c r="AI64" s="20" t="s">
        <v>175</v>
      </c>
      <c r="AJ64" s="20" t="s">
        <v>175</v>
      </c>
      <c r="AK64" s="20" t="s">
        <v>175</v>
      </c>
      <c r="AL64" s="20" t="s">
        <v>175</v>
      </c>
      <c r="AM64" s="20" t="s">
        <v>175</v>
      </c>
      <c r="AN64" s="20" t="s">
        <v>175</v>
      </c>
      <c r="AO64" s="42" t="s">
        <v>154</v>
      </c>
      <c r="AP64" s="20" t="s">
        <v>556</v>
      </c>
      <c r="AQ64" s="19" t="s">
        <v>648</v>
      </c>
      <c r="AR64" s="200" t="s">
        <v>47</v>
      </c>
      <c r="AS64" s="19" t="s">
        <v>175</v>
      </c>
      <c r="AU64" s="180"/>
      <c r="AV64" s="181"/>
      <c r="AW64" s="182" t="s">
        <v>170</v>
      </c>
      <c r="AX64" s="180" t="s">
        <v>170</v>
      </c>
      <c r="AY64" s="181"/>
      <c r="AZ64" s="182"/>
      <c r="BA64" s="180"/>
      <c r="BB64" s="181"/>
      <c r="BC64" s="182"/>
    </row>
    <row r="65" spans="1:55" ht="88" customHeight="1" x14ac:dyDescent="0.55000000000000004">
      <c r="A65" s="198" t="s">
        <v>558</v>
      </c>
      <c r="B65" s="19" t="s">
        <v>175</v>
      </c>
      <c r="C65" s="176">
        <v>61</v>
      </c>
      <c r="D65" s="19" t="s">
        <v>136</v>
      </c>
      <c r="E65" s="19" t="s">
        <v>174</v>
      </c>
      <c r="F65" s="19" t="str">
        <f>IFERROR(VLOOKUP(E65,TABLE!$A$27:$B$48,2,FALSE),"")</f>
        <v>CR-V</v>
      </c>
      <c r="G65" s="19" t="s">
        <v>175</v>
      </c>
      <c r="H65" s="19" t="s">
        <v>191</v>
      </c>
      <c r="I65" s="19" t="s">
        <v>175</v>
      </c>
      <c r="J65" s="19" t="s">
        <v>177</v>
      </c>
      <c r="K65" s="20" t="s">
        <v>175</v>
      </c>
      <c r="L65" s="20">
        <v>1</v>
      </c>
      <c r="M65" s="20" t="s">
        <v>175</v>
      </c>
      <c r="N65" s="19" t="s">
        <v>290</v>
      </c>
      <c r="O65" s="194">
        <v>45426</v>
      </c>
      <c r="P65" s="194">
        <v>45421</v>
      </c>
      <c r="Q65" s="20" t="s">
        <v>899</v>
      </c>
      <c r="R65" s="20" t="s">
        <v>559</v>
      </c>
      <c r="S65" s="20">
        <f>IFERROR(VLOOKUP(W65,'TB 各拠点LCM搭載機種一覧 (全拠点）'!$C$12:$K$14,8,FALSE),"")</f>
        <v>1480820503</v>
      </c>
      <c r="T65" s="20" t="str">
        <f>IFERROR(VLOOKUP(W65,'TB 各拠点LCM搭載機種一覧 (全拠点）'!$C$12:$K$14,9,FALSE),"")</f>
        <v>W6250M/LIGHT CNTRL</v>
      </c>
      <c r="U65" s="20" t="s">
        <v>150</v>
      </c>
      <c r="V65" s="20" t="s">
        <v>605</v>
      </c>
      <c r="W65" s="19" t="s">
        <v>181</v>
      </c>
      <c r="X65" s="20" t="s">
        <v>560</v>
      </c>
      <c r="Y65" s="20" t="str">
        <f>IFERROR(VLOOKUP(W65,'TB 各拠点LCM搭載機種一覧 (全拠点）'!$C$12:$K$14,2,FALSE),"")</f>
        <v>33109-3A0 -A040-62</v>
      </c>
      <c r="Z65" s="20" t="str">
        <f>IFERROR(VLOOKUP(W65,'TB 各拠点LCM搭載機種一覧 (全拠点）'!$C$12:$K$14,3,FALSE),"")</f>
        <v>MEAX</v>
      </c>
      <c r="AA65" s="20" t="str">
        <f>IFERROR(VLOOKUP(W65,'TB 各拠点LCM搭載機種一覧 (全拠点）'!$C$12:$K$14,4,FALSE),"")</f>
        <v>Low</v>
      </c>
      <c r="AB65" s="192">
        <v>45404</v>
      </c>
      <c r="AC65" s="25" t="str" cm="1">
        <f t="array" ref="AC65">IFERROR(INDEX(TABLE!$D$5:$D$18,MATCH(1,(TABLE!$A$5:$A$18=D65)*(TABLE!$B$5:$B$18&lt;=AB65)*(TABLE!$C$5:$C$18&gt;=AB65),0)),"対策前")</f>
        <v>T対策3</v>
      </c>
      <c r="AD65" s="28" t="s">
        <v>561</v>
      </c>
      <c r="AE65" s="20" t="s">
        <v>175</v>
      </c>
      <c r="AF65" s="20" t="s">
        <v>175</v>
      </c>
      <c r="AG65" s="19" t="s">
        <v>160</v>
      </c>
      <c r="AH65" s="20" t="s">
        <v>175</v>
      </c>
      <c r="AI65" s="20" t="s">
        <v>175</v>
      </c>
      <c r="AJ65" s="20" t="s">
        <v>175</v>
      </c>
      <c r="AK65" s="20" t="s">
        <v>175</v>
      </c>
      <c r="AL65" s="20" t="s">
        <v>175</v>
      </c>
      <c r="AM65" s="20" t="s">
        <v>175</v>
      </c>
      <c r="AN65" s="20" t="s">
        <v>175</v>
      </c>
      <c r="AO65" s="42" t="s">
        <v>562</v>
      </c>
      <c r="AP65" s="20" t="s">
        <v>563</v>
      </c>
      <c r="AQ65" s="19" t="s">
        <v>648</v>
      </c>
      <c r="AR65" s="200" t="s">
        <v>923</v>
      </c>
      <c r="AS65" s="19" t="s">
        <v>175</v>
      </c>
      <c r="AU65" s="180" t="s">
        <v>170</v>
      </c>
      <c r="AV65" s="181"/>
      <c r="AW65" s="182"/>
      <c r="AX65" s="180" t="s">
        <v>170</v>
      </c>
      <c r="AY65" s="181"/>
      <c r="AZ65" s="182"/>
      <c r="BA65" s="180"/>
      <c r="BB65" s="181"/>
      <c r="BC65" s="182"/>
    </row>
    <row r="66" spans="1:55" ht="63.65" customHeight="1" x14ac:dyDescent="0.55000000000000004">
      <c r="A66" s="198" t="s">
        <v>175</v>
      </c>
      <c r="B66" s="19" t="s">
        <v>175</v>
      </c>
      <c r="C66" s="176">
        <v>62</v>
      </c>
      <c r="D66" s="19" t="s">
        <v>136</v>
      </c>
      <c r="E66" s="19" t="s">
        <v>174</v>
      </c>
      <c r="F66" s="19" t="str">
        <f>IFERROR(VLOOKUP(E66,TABLE!$A$27:$B$48,2,FALSE),"")</f>
        <v>CR-V</v>
      </c>
      <c r="G66" s="19" t="s">
        <v>175</v>
      </c>
      <c r="H66" s="19" t="s">
        <v>139</v>
      </c>
      <c r="I66" s="19" t="s">
        <v>175</v>
      </c>
      <c r="J66" s="19" t="s">
        <v>177</v>
      </c>
      <c r="K66" s="20" t="s">
        <v>175</v>
      </c>
      <c r="L66" s="20">
        <v>1</v>
      </c>
      <c r="M66" s="20" t="s">
        <v>175</v>
      </c>
      <c r="N66" s="19" t="s">
        <v>290</v>
      </c>
      <c r="O66" s="195">
        <v>45429</v>
      </c>
      <c r="P66" s="195">
        <v>45428</v>
      </c>
      <c r="Q66" s="20" t="s">
        <v>158</v>
      </c>
      <c r="R66" s="20" t="s">
        <v>564</v>
      </c>
      <c r="S66" s="20">
        <f>IFERROR(VLOOKUP(W66,'TB 各拠点LCM搭載機種一覧 (全拠点）'!$C$12:$K$14,8,FALSE),"")</f>
        <v>1480820503</v>
      </c>
      <c r="T66" s="20" t="str">
        <f>IFERROR(VLOOKUP(W66,'TB 各拠点LCM搭載機種一覧 (全拠点）'!$C$12:$K$14,9,FALSE),"")</f>
        <v>W6250M/LIGHT CNTRL</v>
      </c>
      <c r="U66" s="20" t="s">
        <v>145</v>
      </c>
      <c r="V66" s="20" t="s">
        <v>605</v>
      </c>
      <c r="W66" s="19" t="s">
        <v>181</v>
      </c>
      <c r="X66" s="20" t="s">
        <v>565</v>
      </c>
      <c r="Y66" s="20" t="str">
        <f>IFERROR(VLOOKUP(W66,'TB 各拠点LCM搭載機種一覧 (全拠点）'!$C$12:$K$14,2,FALSE),"")</f>
        <v>33109-3A0 -A040-62</v>
      </c>
      <c r="Z66" s="20" t="str">
        <f>IFERROR(VLOOKUP(W66,'TB 各拠点LCM搭載機種一覧 (全拠点）'!$C$12:$K$14,3,FALSE),"")</f>
        <v>MEAX</v>
      </c>
      <c r="AA66" s="20" t="str">
        <f>IFERROR(VLOOKUP(W66,'TB 各拠点LCM搭載機種一覧 (全拠点）'!$C$12:$K$14,4,FALSE),"")</f>
        <v>Low</v>
      </c>
      <c r="AB66" s="193"/>
      <c r="AC66" s="25" t="str" cm="1">
        <f t="array" aca="1" ref="AC66" ca="1">IFERROR(INDEX(TABLE!$D$5:$D$18,MATCH(1,(TABLE!$A$5:$A$18=D66)*(TABLE!$B$5:$B$18&lt;=AB66)*(TABLE!$C$5:$C$18&gt;=AB66),0)),"対策前")</f>
        <v>対策前</v>
      </c>
      <c r="AD66" s="28" t="s">
        <v>175</v>
      </c>
      <c r="AE66" s="20" t="s">
        <v>175</v>
      </c>
      <c r="AF66" s="20" t="s">
        <v>175</v>
      </c>
      <c r="AG66" s="19" t="s">
        <v>175</v>
      </c>
      <c r="AH66" s="20" t="s">
        <v>175</v>
      </c>
      <c r="AI66" s="20" t="s">
        <v>175</v>
      </c>
      <c r="AJ66" s="20" t="s">
        <v>175</v>
      </c>
      <c r="AK66" s="20" t="s">
        <v>175</v>
      </c>
      <c r="AL66" s="20" t="s">
        <v>175</v>
      </c>
      <c r="AM66" s="20" t="s">
        <v>175</v>
      </c>
      <c r="AN66" s="20" t="s">
        <v>175</v>
      </c>
      <c r="AO66" s="42" t="s">
        <v>175</v>
      </c>
      <c r="AP66" s="20" t="s">
        <v>566</v>
      </c>
      <c r="AQ66" s="19" t="s">
        <v>648</v>
      </c>
      <c r="AR66" s="200" t="s">
        <v>924</v>
      </c>
      <c r="AS66" s="19" t="s">
        <v>175</v>
      </c>
      <c r="AU66" s="180"/>
      <c r="AV66" s="181"/>
      <c r="AW66" s="182"/>
      <c r="AX66" s="180"/>
      <c r="AY66" s="181" t="s">
        <v>170</v>
      </c>
      <c r="AZ66" s="182"/>
      <c r="BA66" s="180"/>
      <c r="BB66" s="181"/>
      <c r="BC66" s="182"/>
    </row>
    <row r="67" spans="1:55" ht="63.65" customHeight="1" x14ac:dyDescent="0.55000000000000004">
      <c r="A67" s="198" t="s">
        <v>175</v>
      </c>
      <c r="B67" s="19" t="s">
        <v>175</v>
      </c>
      <c r="C67" s="176">
        <v>63</v>
      </c>
      <c r="D67" s="19" t="s">
        <v>136</v>
      </c>
      <c r="E67" s="19" t="s">
        <v>174</v>
      </c>
      <c r="F67" s="19" t="str">
        <f>IFERROR(VLOOKUP(E67,TABLE!$A$27:$B$48,2,FALSE),"")</f>
        <v>CR-V</v>
      </c>
      <c r="G67" s="19" t="s">
        <v>175</v>
      </c>
      <c r="H67" s="19" t="s">
        <v>139</v>
      </c>
      <c r="I67" s="19" t="s">
        <v>175</v>
      </c>
      <c r="J67" s="19" t="s">
        <v>177</v>
      </c>
      <c r="K67" s="19" t="s">
        <v>175</v>
      </c>
      <c r="L67" s="20">
        <v>1</v>
      </c>
      <c r="M67" s="19"/>
      <c r="N67" s="19" t="s">
        <v>290</v>
      </c>
      <c r="O67" s="194">
        <v>45469</v>
      </c>
      <c r="P67" s="194">
        <v>45421</v>
      </c>
      <c r="Q67" s="20" t="s">
        <v>900</v>
      </c>
      <c r="R67" s="19" t="s">
        <v>567</v>
      </c>
      <c r="S67" s="20">
        <f>IFERROR(VLOOKUP(W67,'TB 各拠点LCM搭載機種一覧 (全拠点）'!$C$12:$K$14,8,FALSE),"")</f>
        <v>1480820503</v>
      </c>
      <c r="T67" s="20" t="str">
        <f>IFERROR(VLOOKUP(W67,'TB 各拠点LCM搭載機種一覧 (全拠点）'!$C$12:$K$14,9,FALSE),"")</f>
        <v>W6250M/LIGHT CNTRL</v>
      </c>
      <c r="U67" s="19" t="s">
        <v>152</v>
      </c>
      <c r="V67" s="20" t="s">
        <v>605</v>
      </c>
      <c r="W67" s="19" t="s">
        <v>181</v>
      </c>
      <c r="X67" s="19" t="s">
        <v>568</v>
      </c>
      <c r="Y67" s="20" t="str">
        <f>IFERROR(VLOOKUP(W67,'TB 各拠点LCM搭載機種一覧 (全拠点）'!$C$12:$K$14,2,FALSE),"")</f>
        <v>33109-3A0 -A040-62</v>
      </c>
      <c r="Z67" s="20" t="str">
        <f>IFERROR(VLOOKUP(W67,'TB 各拠点LCM搭載機種一覧 (全拠点）'!$C$12:$K$14,3,FALSE),"")</f>
        <v>MEAX</v>
      </c>
      <c r="AA67" s="20" t="str">
        <f>IFERROR(VLOOKUP(W67,'TB 各拠点LCM搭載機種一覧 (全拠点）'!$C$12:$K$14,4,FALSE),"")</f>
        <v>Low</v>
      </c>
      <c r="AB67" s="192">
        <v>45428</v>
      </c>
      <c r="AC67" s="25" t="str" cm="1">
        <f t="array" ref="AC67">IFERROR(INDEX(TABLE!$D$5:$D$18,MATCH(1,(TABLE!$A$5:$A$18=D67)*(TABLE!$B$5:$B$18&lt;=AB67)*(TABLE!$C$5:$C$18&gt;=AB67),0)),"対策前")</f>
        <v>M対策7</v>
      </c>
      <c r="AD67" s="19" t="s">
        <v>569</v>
      </c>
      <c r="AE67" s="20" t="s">
        <v>570</v>
      </c>
      <c r="AF67" s="19" t="s">
        <v>571</v>
      </c>
      <c r="AG67" s="19" t="s">
        <v>160</v>
      </c>
      <c r="AH67" s="19" t="s">
        <v>175</v>
      </c>
      <c r="AI67" s="19" t="s">
        <v>175</v>
      </c>
      <c r="AJ67" s="19" t="s">
        <v>175</v>
      </c>
      <c r="AK67" s="19" t="s">
        <v>175</v>
      </c>
      <c r="AL67" s="19" t="s">
        <v>175</v>
      </c>
      <c r="AM67" s="19" t="s">
        <v>175</v>
      </c>
      <c r="AN67" s="19" t="s">
        <v>175</v>
      </c>
      <c r="AO67" s="48" t="s">
        <v>570</v>
      </c>
      <c r="AP67" s="20" t="s">
        <v>572</v>
      </c>
      <c r="AQ67" s="19" t="s">
        <v>648</v>
      </c>
      <c r="AR67" s="200" t="s">
        <v>923</v>
      </c>
      <c r="AS67" s="49" t="s">
        <v>573</v>
      </c>
      <c r="AU67" s="180" t="s">
        <v>170</v>
      </c>
      <c r="AV67" s="181"/>
      <c r="AW67" s="182"/>
      <c r="AX67" s="180"/>
      <c r="AY67" s="181" t="s">
        <v>170</v>
      </c>
      <c r="AZ67" s="182"/>
      <c r="BA67" s="180"/>
      <c r="BB67" s="181"/>
      <c r="BC67" s="182"/>
    </row>
    <row r="68" spans="1:55" ht="63.65" customHeight="1" x14ac:dyDescent="0.55000000000000004">
      <c r="A68" s="198" t="s">
        <v>175</v>
      </c>
      <c r="B68" s="19" t="s">
        <v>175</v>
      </c>
      <c r="C68" s="176">
        <v>64</v>
      </c>
      <c r="D68" s="19" t="s">
        <v>136</v>
      </c>
      <c r="E68" s="19" t="s">
        <v>138</v>
      </c>
      <c r="F68" s="19" t="str">
        <f>IFERROR(VLOOKUP(E68,TABLE!$A$27:$B$48,2,FALSE),"")</f>
        <v>ACCORD</v>
      </c>
      <c r="G68" s="19" t="s">
        <v>175</v>
      </c>
      <c r="H68" s="19" t="s">
        <v>139</v>
      </c>
      <c r="I68" s="19" t="s">
        <v>175</v>
      </c>
      <c r="J68" s="19" t="s">
        <v>177</v>
      </c>
      <c r="K68" s="19" t="s">
        <v>175</v>
      </c>
      <c r="L68" s="20">
        <v>1</v>
      </c>
      <c r="M68" s="19" t="s">
        <v>175</v>
      </c>
      <c r="N68" s="19" t="s">
        <v>140</v>
      </c>
      <c r="O68" s="195">
        <v>45458</v>
      </c>
      <c r="P68" s="195">
        <v>45455</v>
      </c>
      <c r="Q68" s="20" t="s">
        <v>574</v>
      </c>
      <c r="R68" s="19" t="s">
        <v>552</v>
      </c>
      <c r="S68" s="20">
        <f>IFERROR(VLOOKUP(W68,'TB 各拠点LCM搭載機種一覧 (全拠点）'!$C$12:$K$14,8,FALSE),"")</f>
        <v>4281316802</v>
      </c>
      <c r="T68" s="20" t="str">
        <f>IFERROR(VLOOKUP(W68,'TB 各拠点LCM搭載機種一覧 (全拠点）'!$C$12:$K$14,9,FALSE),"")</f>
        <v>W5882M/LIGHT CNTRL</v>
      </c>
      <c r="U68" s="20" t="s">
        <v>156</v>
      </c>
      <c r="V68" s="20" t="s">
        <v>605</v>
      </c>
      <c r="W68" s="19" t="s">
        <v>195</v>
      </c>
      <c r="X68" s="20" t="s">
        <v>575</v>
      </c>
      <c r="Y68" s="20" t="str">
        <f>IFERROR(VLOOKUP(W68,'TB 各拠点LCM搭載機種一覧 (全拠点）'!$C$12:$K$14,2,FALSE),"")</f>
        <v>33100-30E -H020-62</v>
      </c>
      <c r="Z68" s="20" t="str">
        <f>IFERROR(VLOOKUP(W68,'TB 各拠点LCM搭載機種一覧 (全拠点）'!$C$12:$K$14,3,FALSE),"")</f>
        <v>MEAX</v>
      </c>
      <c r="AA68" s="20" t="str">
        <f>IFERROR(VLOOKUP(W68,'TB 各拠点LCM搭載機種一覧 (全拠点）'!$C$12:$K$14,4,FALSE),"")</f>
        <v>Low</v>
      </c>
      <c r="AB68" s="193"/>
      <c r="AC68" s="25" t="str" cm="1">
        <f t="array" aca="1" ref="AC68" ca="1">IFERROR(INDEX(TABLE!$D$5:$D$18,MATCH(1,(TABLE!$A$5:$A$18=D68)*(TABLE!$B$5:$B$18&lt;=AB68)*(TABLE!$C$5:$C$18&gt;=AB68),0)),"対策前")</f>
        <v>対策前</v>
      </c>
      <c r="AD68" s="20" t="s">
        <v>175</v>
      </c>
      <c r="AE68" s="19" t="s">
        <v>175</v>
      </c>
      <c r="AF68" s="19" t="s">
        <v>175</v>
      </c>
      <c r="AG68" s="19"/>
      <c r="AH68" s="19" t="s">
        <v>175</v>
      </c>
      <c r="AI68" s="19" t="s">
        <v>175</v>
      </c>
      <c r="AJ68" s="19" t="s">
        <v>175</v>
      </c>
      <c r="AK68" s="20" t="s">
        <v>175</v>
      </c>
      <c r="AL68" s="20" t="s">
        <v>175</v>
      </c>
      <c r="AM68" s="29" t="s">
        <v>175</v>
      </c>
      <c r="AN68" s="20" t="s">
        <v>175</v>
      </c>
      <c r="AO68" s="29" t="s">
        <v>175</v>
      </c>
      <c r="AP68" s="20" t="s">
        <v>576</v>
      </c>
      <c r="AQ68" s="19" t="s">
        <v>648</v>
      </c>
      <c r="AR68" s="200" t="s">
        <v>924</v>
      </c>
      <c r="AS68" s="19" t="s">
        <v>175</v>
      </c>
      <c r="AU68" s="180"/>
      <c r="AV68" s="181"/>
      <c r="AW68" s="182"/>
      <c r="AX68" s="180"/>
      <c r="AY68" s="181" t="s">
        <v>170</v>
      </c>
      <c r="AZ68" s="182"/>
      <c r="BA68" s="180"/>
      <c r="BB68" s="181"/>
      <c r="BC68" s="182"/>
    </row>
    <row r="69" spans="1:55" ht="63.65" customHeight="1" x14ac:dyDescent="0.55000000000000004">
      <c r="A69" s="198" t="s">
        <v>175</v>
      </c>
      <c r="B69" s="19" t="s">
        <v>175</v>
      </c>
      <c r="C69" s="176">
        <v>65</v>
      </c>
      <c r="D69" s="19" t="s">
        <v>136</v>
      </c>
      <c r="E69" s="19" t="s">
        <v>138</v>
      </c>
      <c r="F69" s="19" t="str">
        <f>IFERROR(VLOOKUP(E69,TABLE!$A$27:$B$48,2,FALSE),"")</f>
        <v>ACCORD</v>
      </c>
      <c r="G69" s="19" t="s">
        <v>175</v>
      </c>
      <c r="H69" s="19" t="s">
        <v>191</v>
      </c>
      <c r="I69" s="19" t="s">
        <v>175</v>
      </c>
      <c r="J69" s="19" t="s">
        <v>177</v>
      </c>
      <c r="K69" s="19"/>
      <c r="L69" s="20">
        <v>1</v>
      </c>
      <c r="M69" s="19" t="s">
        <v>175</v>
      </c>
      <c r="N69" s="19" t="s">
        <v>140</v>
      </c>
      <c r="O69" s="194">
        <v>45455</v>
      </c>
      <c r="P69" s="194">
        <v>45450</v>
      </c>
      <c r="Q69" s="20" t="s">
        <v>577</v>
      </c>
      <c r="R69" s="19" t="s">
        <v>544</v>
      </c>
      <c r="S69" s="20">
        <f>IFERROR(VLOOKUP(W69,'TB 各拠点LCM搭載機種一覧 (全拠点）'!$C$12:$K$14,8,FALSE),"")</f>
        <v>4281316802</v>
      </c>
      <c r="T69" s="20" t="str">
        <f>IFERROR(VLOOKUP(W69,'TB 各拠点LCM搭載機種一覧 (全拠点）'!$C$12:$K$14,9,FALSE),"")</f>
        <v>W5882M/LIGHT CNTRL</v>
      </c>
      <c r="U69" s="20" t="s">
        <v>146</v>
      </c>
      <c r="V69" s="20" t="s">
        <v>605</v>
      </c>
      <c r="W69" s="19" t="s">
        <v>195</v>
      </c>
      <c r="X69" s="20" t="s">
        <v>578</v>
      </c>
      <c r="Y69" s="20" t="str">
        <f>IFERROR(VLOOKUP(W69,'TB 各拠点LCM搭載機種一覧 (全拠点）'!$C$12:$K$14,2,FALSE),"")</f>
        <v>33100-30E -H020-62</v>
      </c>
      <c r="Z69" s="20" t="str">
        <f>IFERROR(VLOOKUP(W69,'TB 各拠点LCM搭載機種一覧 (全拠点）'!$C$12:$K$14,3,FALSE),"")</f>
        <v>MEAX</v>
      </c>
      <c r="AA69" s="20" t="str">
        <f>IFERROR(VLOOKUP(W69,'TB 各拠点LCM搭載機種一覧 (全拠点）'!$C$12:$K$14,4,FALSE),"")</f>
        <v>Low</v>
      </c>
      <c r="AB69" s="192"/>
      <c r="AC69" s="25" t="str" cm="1">
        <f t="array" aca="1" ref="AC69" ca="1">IFERROR(INDEX(TABLE!$D$5:$D$18,MATCH(1,(TABLE!$A$5:$A$18=D69)*(TABLE!$B$5:$B$18&lt;=AB69)*(TABLE!$C$5:$C$18&gt;=AB69),0)),"対策前")</f>
        <v>対策前</v>
      </c>
      <c r="AD69" s="20" t="s">
        <v>175</v>
      </c>
      <c r="AE69" s="19" t="s">
        <v>175</v>
      </c>
      <c r="AF69" s="19" t="s">
        <v>175</v>
      </c>
      <c r="AG69" s="19" t="s">
        <v>175</v>
      </c>
      <c r="AH69" s="19" t="s">
        <v>175</v>
      </c>
      <c r="AI69" s="29" t="s">
        <v>175</v>
      </c>
      <c r="AJ69" s="29" t="s">
        <v>175</v>
      </c>
      <c r="AK69" s="19" t="s">
        <v>175</v>
      </c>
      <c r="AL69" s="19" t="s">
        <v>175</v>
      </c>
      <c r="AM69" s="29" t="s">
        <v>175</v>
      </c>
      <c r="AN69" s="20" t="s">
        <v>175</v>
      </c>
      <c r="AO69" s="29" t="s">
        <v>175</v>
      </c>
      <c r="AP69" s="20" t="s">
        <v>576</v>
      </c>
      <c r="AQ69" s="19" t="s">
        <v>648</v>
      </c>
      <c r="AR69" s="200" t="s">
        <v>924</v>
      </c>
      <c r="AS69" s="19" t="s">
        <v>175</v>
      </c>
      <c r="AU69" s="180"/>
      <c r="AV69" s="181"/>
      <c r="AW69" s="182"/>
      <c r="AX69" s="180"/>
      <c r="AY69" s="181" t="s">
        <v>170</v>
      </c>
      <c r="AZ69" s="182"/>
      <c r="BA69" s="180"/>
      <c r="BB69" s="181"/>
      <c r="BC69" s="182"/>
    </row>
    <row r="70" spans="1:55" ht="60.65" customHeight="1" x14ac:dyDescent="0.55000000000000004">
      <c r="A70" s="198" t="s">
        <v>611</v>
      </c>
      <c r="B70" s="19"/>
      <c r="C70" s="19">
        <v>66</v>
      </c>
      <c r="D70" s="19" t="s">
        <v>136</v>
      </c>
      <c r="E70" s="19" t="s">
        <v>174</v>
      </c>
      <c r="F70" s="19" t="str">
        <f>IFERROR(VLOOKUP(E70,TABLE!$A$27:$B$48,2,FALSE),"")</f>
        <v>CR-V</v>
      </c>
      <c r="G70" s="65"/>
      <c r="H70" s="19" t="s">
        <v>191</v>
      </c>
      <c r="I70" s="65"/>
      <c r="J70" s="19" t="s">
        <v>205</v>
      </c>
      <c r="K70" s="19">
        <v>161.60000000000002</v>
      </c>
      <c r="L70" s="20">
        <v>1</v>
      </c>
      <c r="M70" s="65"/>
      <c r="N70" s="19" t="s">
        <v>290</v>
      </c>
      <c r="O70" s="195">
        <v>45023</v>
      </c>
      <c r="P70" s="195"/>
      <c r="Q70" s="66" t="s">
        <v>609</v>
      </c>
      <c r="R70" s="20">
        <v>481286</v>
      </c>
      <c r="S70" s="20" t="str">
        <f>IFERROR(VLOOKUP(W70,'TB 各拠点LCM搭載機種一覧 (全拠点）'!$C$12:$K$14,8,FALSE),"")</f>
        <v/>
      </c>
      <c r="T70" s="20" t="str">
        <f>IFERROR(VLOOKUP(W70,'TB 各拠点LCM搭載機種一覧 (全拠点）'!$C$12:$K$14,9,FALSE),"")</f>
        <v/>
      </c>
      <c r="U70" s="20" t="s">
        <v>607</v>
      </c>
      <c r="V70" s="20" t="s">
        <v>605</v>
      </c>
      <c r="W70" s="19"/>
      <c r="X70" s="20"/>
      <c r="Y70" s="20" t="str">
        <f>IFERROR(VLOOKUP(W70,'TB 各拠点LCM搭載機種一覧 (全拠点）'!$C$12:$K$14,2,FALSE),"")</f>
        <v/>
      </c>
      <c r="Z70" s="20" t="str">
        <f>IFERROR(VLOOKUP(W70,'TB 各拠点LCM搭載機種一覧 (全拠点）'!$C$12:$K$14,3,FALSE),"")</f>
        <v/>
      </c>
      <c r="AA70" s="20" t="str">
        <f>IFERROR(VLOOKUP(W70,'TB 各拠点LCM搭載機種一覧 (全拠点）'!$C$12:$K$14,4,FALSE),"")</f>
        <v/>
      </c>
      <c r="AB70" s="193">
        <v>44949</v>
      </c>
      <c r="AC70" s="25" t="str" cm="1">
        <f t="array" aca="1" ref="AC70" ca="1">IFERROR(INDEX(TABLE!$D$5:$D$18,MATCH(1,(TABLE!$A$5:$A$18=D70)*(TABLE!$B$5:$B$18&lt;=AB70)*(TABLE!$C$5:$C$18&gt;=AB70),0)),"対策前")</f>
        <v>対策前</v>
      </c>
      <c r="AD70" s="20"/>
      <c r="AE70" s="19"/>
      <c r="AF70" s="19"/>
      <c r="AG70" s="19" t="s">
        <v>637</v>
      </c>
      <c r="AH70" s="19"/>
      <c r="AI70" s="20"/>
      <c r="AJ70" s="19"/>
      <c r="AK70" s="19"/>
      <c r="AL70" s="19"/>
      <c r="AM70" s="29"/>
      <c r="AN70" s="29"/>
      <c r="AO70" s="20"/>
      <c r="AP70" s="20"/>
      <c r="AQ70" s="19" t="s">
        <v>648</v>
      </c>
      <c r="AR70" s="199" t="s">
        <v>923</v>
      </c>
      <c r="AS70" s="19" t="s">
        <v>610</v>
      </c>
      <c r="AU70" s="180"/>
      <c r="AV70" s="181"/>
      <c r="AW70" s="182"/>
      <c r="AX70" s="180"/>
      <c r="AY70" s="181"/>
      <c r="AZ70" s="182"/>
      <c r="BA70" s="180"/>
      <c r="BB70" s="181"/>
      <c r="BC70" s="182"/>
    </row>
    <row r="71" spans="1:55" ht="60.65" customHeight="1" x14ac:dyDescent="0.55000000000000004">
      <c r="A71" s="198"/>
      <c r="B71" s="19"/>
      <c r="C71" s="19">
        <v>67</v>
      </c>
      <c r="D71" s="19" t="s">
        <v>136</v>
      </c>
      <c r="E71" s="19" t="s">
        <v>174</v>
      </c>
      <c r="F71" s="19" t="str">
        <f>IFERROR(VLOOKUP(E71,TABLE!$A$27:$B$48,2,FALSE),"")</f>
        <v>CR-V</v>
      </c>
      <c r="G71" s="65"/>
      <c r="H71" s="19" t="s">
        <v>191</v>
      </c>
      <c r="I71" s="65"/>
      <c r="J71" s="19" t="s">
        <v>205</v>
      </c>
      <c r="K71" s="19">
        <v>976</v>
      </c>
      <c r="L71" s="20">
        <v>1</v>
      </c>
      <c r="M71" s="65"/>
      <c r="N71" s="19" t="s">
        <v>290</v>
      </c>
      <c r="O71" s="194">
        <v>45047</v>
      </c>
      <c r="P71" s="194"/>
      <c r="Q71" s="196" t="s">
        <v>922</v>
      </c>
      <c r="R71" s="20">
        <v>154514</v>
      </c>
      <c r="S71" s="20" t="str">
        <f>IFERROR(VLOOKUP(W71,'TB 各拠点LCM搭載機種一覧 (全拠点）'!$C$12:$K$14,8,FALSE),"")</f>
        <v/>
      </c>
      <c r="T71" s="20" t="str">
        <f>IFERROR(VLOOKUP(W71,'TB 各拠点LCM搭載機種一覧 (全拠点）'!$C$12:$K$14,9,FALSE),"")</f>
        <v/>
      </c>
      <c r="U71" s="20" t="s">
        <v>607</v>
      </c>
      <c r="V71" s="20" t="s">
        <v>605</v>
      </c>
      <c r="W71" s="19"/>
      <c r="X71" s="20"/>
      <c r="Y71" s="20" t="str">
        <f>IFERROR(VLOOKUP(W71,'TB 各拠点LCM搭載機種一覧 (全拠点）'!$C$12:$K$14,2,FALSE),"")</f>
        <v/>
      </c>
      <c r="Z71" s="20" t="str">
        <f>IFERROR(VLOOKUP(W71,'TB 各拠点LCM搭載機種一覧 (全拠点）'!$C$12:$K$14,3,FALSE),"")</f>
        <v/>
      </c>
      <c r="AA71" s="20" t="str">
        <f>IFERROR(VLOOKUP(W71,'TB 各拠点LCM搭載機種一覧 (全拠点）'!$C$12:$K$14,4,FALSE),"")</f>
        <v/>
      </c>
      <c r="AB71" s="192">
        <v>44979</v>
      </c>
      <c r="AC71" s="25" t="str" cm="1">
        <f t="array" ref="AC71">IFERROR(INDEX(TABLE!$D$5:$D$18,MATCH(1,(TABLE!$A$5:$A$18=D71)*(TABLE!$B$5:$B$18&lt;=AB71)*(TABLE!$C$5:$C$18&gt;=AB71),0)),"対策前")</f>
        <v>M対策1</v>
      </c>
      <c r="AD71" s="20"/>
      <c r="AE71" s="19"/>
      <c r="AF71" s="19"/>
      <c r="AG71" s="19" t="s">
        <v>637</v>
      </c>
      <c r="AH71" s="19"/>
      <c r="AI71" s="19"/>
      <c r="AJ71" s="19"/>
      <c r="AK71" s="29"/>
      <c r="AL71" s="29"/>
      <c r="AM71" s="29"/>
      <c r="AN71" s="20"/>
      <c r="AO71" s="20"/>
      <c r="AP71" s="20"/>
      <c r="AQ71" s="19" t="s">
        <v>648</v>
      </c>
      <c r="AR71" s="200" t="s">
        <v>923</v>
      </c>
      <c r="AS71" s="19" t="s">
        <v>610</v>
      </c>
      <c r="AU71" s="180"/>
      <c r="AV71" s="181"/>
      <c r="AW71" s="182"/>
      <c r="AX71" s="180"/>
      <c r="AY71" s="181"/>
      <c r="AZ71" s="182"/>
      <c r="BA71" s="180"/>
      <c r="BB71" s="181"/>
      <c r="BC71" s="182"/>
    </row>
    <row r="72" spans="1:55" ht="60.65" customHeight="1" x14ac:dyDescent="0.55000000000000004">
      <c r="A72" s="198"/>
      <c r="B72" s="19"/>
      <c r="C72" s="19">
        <v>68</v>
      </c>
      <c r="D72" s="19" t="s">
        <v>136</v>
      </c>
      <c r="E72" s="19" t="s">
        <v>174</v>
      </c>
      <c r="F72" s="19" t="str">
        <f>IFERROR(VLOOKUP(E72,TABLE!$A$27:$B$48,2,FALSE),"")</f>
        <v>CR-V</v>
      </c>
      <c r="G72" s="65"/>
      <c r="H72" s="19" t="s">
        <v>191</v>
      </c>
      <c r="I72" s="65"/>
      <c r="J72" s="19" t="s">
        <v>205</v>
      </c>
      <c r="K72" s="19">
        <v>2728</v>
      </c>
      <c r="L72" s="20">
        <v>1</v>
      </c>
      <c r="M72" s="65"/>
      <c r="N72" s="19" t="s">
        <v>290</v>
      </c>
      <c r="O72" s="195">
        <v>45140</v>
      </c>
      <c r="P72" s="195"/>
      <c r="Q72" s="196" t="s">
        <v>921</v>
      </c>
      <c r="R72" s="20">
        <v>116994</v>
      </c>
      <c r="S72" s="20" t="str">
        <f>IFERROR(VLOOKUP(W72,'TB 各拠点LCM搭載機種一覧 (全拠点）'!$C$12:$K$14,8,FALSE),"")</f>
        <v/>
      </c>
      <c r="T72" s="20" t="str">
        <f>IFERROR(VLOOKUP(W72,'TB 各拠点LCM搭載機種一覧 (全拠点）'!$C$12:$K$14,9,FALSE),"")</f>
        <v/>
      </c>
      <c r="U72" s="20" t="s">
        <v>607</v>
      </c>
      <c r="V72" s="20" t="s">
        <v>605</v>
      </c>
      <c r="W72" s="19"/>
      <c r="X72" s="19"/>
      <c r="Y72" s="20" t="str">
        <f>IFERROR(VLOOKUP(W72,'TB 各拠点LCM搭載機種一覧 (全拠点）'!$C$12:$K$14,2,FALSE),"")</f>
        <v/>
      </c>
      <c r="Z72" s="20" t="str">
        <f>IFERROR(VLOOKUP(W72,'TB 各拠点LCM搭載機種一覧 (全拠点）'!$C$12:$K$14,3,FALSE),"")</f>
        <v/>
      </c>
      <c r="AA72" s="20" t="str">
        <f>IFERROR(VLOOKUP(W72,'TB 各拠点LCM搭載機種一覧 (全拠点）'!$C$12:$K$14,4,FALSE),"")</f>
        <v/>
      </c>
      <c r="AB72" s="193">
        <v>44957</v>
      </c>
      <c r="AC72" s="25" t="str" cm="1">
        <f t="array" aca="1" ref="AC72" ca="1">IFERROR(INDEX(TABLE!$D$5:$D$18,MATCH(1,(TABLE!$A$5:$A$18=D72)*(TABLE!$B$5:$B$18&lt;=AB72)*(TABLE!$C$5:$C$18&gt;=AB72),0)),"対策前")</f>
        <v>対策前</v>
      </c>
      <c r="AD72" s="19"/>
      <c r="AE72" s="19"/>
      <c r="AF72" s="19"/>
      <c r="AG72" s="19" t="s">
        <v>637</v>
      </c>
      <c r="AH72" s="19"/>
      <c r="AI72" s="19"/>
      <c r="AJ72" s="19"/>
      <c r="AK72" s="19"/>
      <c r="AL72" s="19"/>
      <c r="AM72" s="19"/>
      <c r="AN72" s="19"/>
      <c r="AO72" s="19"/>
      <c r="AP72" s="19"/>
      <c r="AQ72" s="19" t="s">
        <v>648</v>
      </c>
      <c r="AR72" s="200" t="s">
        <v>923</v>
      </c>
      <c r="AS72" s="19" t="s">
        <v>610</v>
      </c>
      <c r="AU72" s="180"/>
      <c r="AV72" s="181"/>
      <c r="AW72" s="182"/>
      <c r="AX72" s="180"/>
      <c r="AY72" s="181"/>
      <c r="AZ72" s="182"/>
      <c r="BA72" s="180"/>
      <c r="BB72" s="181"/>
      <c r="BC72" s="182"/>
    </row>
    <row r="73" spans="1:55" ht="60.65" customHeight="1" x14ac:dyDescent="0.55000000000000004">
      <c r="A73" s="198"/>
      <c r="B73" s="19"/>
      <c r="C73" s="19">
        <v>69</v>
      </c>
      <c r="D73" s="19" t="s">
        <v>136</v>
      </c>
      <c r="E73" s="19" t="s">
        <v>174</v>
      </c>
      <c r="F73" s="19" t="str">
        <f>IFERROR(VLOOKUP(E73,TABLE!$A$27:$B$48,2,FALSE),"")</f>
        <v>CR-V</v>
      </c>
      <c r="G73" s="65"/>
      <c r="H73" s="19" t="s">
        <v>191</v>
      </c>
      <c r="I73" s="19"/>
      <c r="J73" s="19" t="s">
        <v>205</v>
      </c>
      <c r="K73" s="19">
        <v>22369.600000000002</v>
      </c>
      <c r="L73" s="20">
        <v>1</v>
      </c>
      <c r="M73" s="19"/>
      <c r="N73" s="19" t="s">
        <v>290</v>
      </c>
      <c r="O73" s="194">
        <v>45218</v>
      </c>
      <c r="P73" s="194"/>
      <c r="Q73" s="66" t="s">
        <v>901</v>
      </c>
      <c r="R73" s="20">
        <v>507898</v>
      </c>
      <c r="S73" s="20" t="str">
        <f>IFERROR(VLOOKUP(W73,'TB 各拠点LCM搭載機種一覧 (全拠点）'!$C$12:$K$14,8,FALSE),"")</f>
        <v/>
      </c>
      <c r="T73" s="20" t="str">
        <f>IFERROR(VLOOKUP(W73,'TB 各拠点LCM搭載機種一覧 (全拠点）'!$C$12:$K$14,9,FALSE),"")</f>
        <v/>
      </c>
      <c r="U73" s="20" t="s">
        <v>607</v>
      </c>
      <c r="V73" s="20" t="s">
        <v>605</v>
      </c>
      <c r="W73" s="19"/>
      <c r="X73" s="20"/>
      <c r="Y73" s="20" t="str">
        <f>IFERROR(VLOOKUP(W73,'TB 各拠点LCM搭載機種一覧 (全拠点）'!$C$12:$K$14,2,FALSE),"")</f>
        <v/>
      </c>
      <c r="Z73" s="20" t="str">
        <f>IFERROR(VLOOKUP(W73,'TB 各拠点LCM搭載機種一覧 (全拠点）'!$C$12:$K$14,3,FALSE),"")</f>
        <v/>
      </c>
      <c r="AA73" s="20" t="str">
        <f>IFERROR(VLOOKUP(W73,'TB 各拠点LCM搭載機種一覧 (全拠点）'!$C$12:$K$14,4,FALSE),"")</f>
        <v/>
      </c>
      <c r="AB73" s="192">
        <v>44956</v>
      </c>
      <c r="AC73" s="25" t="str" cm="1">
        <f t="array" aca="1" ref="AC73" ca="1">IFERROR(INDEX(TABLE!$D$5:$D$18,MATCH(1,(TABLE!$A$5:$A$18=D73)*(TABLE!$B$5:$B$18&lt;=AB73)*(TABLE!$C$5:$C$18&gt;=AB73),0)),"対策前")</f>
        <v>対策前</v>
      </c>
      <c r="AD73" s="25"/>
      <c r="AE73" s="20"/>
      <c r="AF73" s="20"/>
      <c r="AG73" s="19" t="s">
        <v>637</v>
      </c>
      <c r="AH73" s="20"/>
      <c r="AI73" s="42"/>
      <c r="AJ73" s="42"/>
      <c r="AK73" s="19"/>
      <c r="AL73" s="19"/>
      <c r="AM73" s="42"/>
      <c r="AN73" s="20"/>
      <c r="AO73" s="20"/>
      <c r="AP73" s="20"/>
      <c r="AQ73" s="19" t="s">
        <v>648</v>
      </c>
      <c r="AR73" s="199" t="s">
        <v>923</v>
      </c>
      <c r="AS73" s="19" t="s">
        <v>610</v>
      </c>
      <c r="AU73" s="180"/>
      <c r="AV73" s="181"/>
      <c r="AW73" s="182"/>
      <c r="AX73" s="180"/>
      <c r="AY73" s="181"/>
      <c r="AZ73" s="182"/>
      <c r="BA73" s="180"/>
      <c r="BB73" s="181"/>
      <c r="BC73" s="182"/>
    </row>
    <row r="74" spans="1:55" ht="61" customHeight="1" x14ac:dyDescent="0.55000000000000004">
      <c r="A74" s="198"/>
      <c r="B74" s="19"/>
      <c r="C74" s="19">
        <v>70</v>
      </c>
      <c r="D74" s="19" t="s">
        <v>136</v>
      </c>
      <c r="E74" s="19" t="s">
        <v>174</v>
      </c>
      <c r="F74" s="19" t="str">
        <f>IFERROR(VLOOKUP(E74,TABLE!$A$27:$B$48,2,FALSE),"")</f>
        <v>CR-V</v>
      </c>
      <c r="G74" s="65"/>
      <c r="H74" s="19"/>
      <c r="I74" s="19"/>
      <c r="J74" s="19" t="s">
        <v>205</v>
      </c>
      <c r="K74" s="19">
        <v>4288</v>
      </c>
      <c r="L74" s="20">
        <v>1</v>
      </c>
      <c r="M74" s="20"/>
      <c r="N74" s="19" t="s">
        <v>290</v>
      </c>
      <c r="O74" s="195">
        <v>45264</v>
      </c>
      <c r="P74" s="195"/>
      <c r="Q74" s="66" t="s">
        <v>920</v>
      </c>
      <c r="R74" s="20">
        <v>651058</v>
      </c>
      <c r="S74" s="20" t="str">
        <f>IFERROR(VLOOKUP(W74,'TB 各拠点LCM搭載機種一覧 (全拠点）'!$C$12:$K$14,8,FALSE),"")</f>
        <v/>
      </c>
      <c r="T74" s="20" t="str">
        <f>IFERROR(VLOOKUP(W74,'TB 各拠点LCM搭載機種一覧 (全拠点）'!$C$12:$K$14,9,FALSE),"")</f>
        <v/>
      </c>
      <c r="U74" s="20" t="s">
        <v>608</v>
      </c>
      <c r="V74" s="20" t="s">
        <v>605</v>
      </c>
      <c r="W74" s="19"/>
      <c r="X74" s="20"/>
      <c r="Y74" s="20" t="str">
        <f>IFERROR(VLOOKUP(W74,'TB 各拠点LCM搭載機種一覧 (全拠点）'!$C$12:$K$14,2,FALSE),"")</f>
        <v/>
      </c>
      <c r="Z74" s="20" t="str">
        <f>IFERROR(VLOOKUP(W74,'TB 各拠点LCM搭載機種一覧 (全拠点）'!$C$12:$K$14,3,FALSE),"")</f>
        <v/>
      </c>
      <c r="AA74" s="20" t="str">
        <f>IFERROR(VLOOKUP(W74,'TB 各拠点LCM搭載機種一覧 (全拠点）'!$C$12:$K$14,4,FALSE),"")</f>
        <v/>
      </c>
      <c r="AB74" s="193">
        <v>45026</v>
      </c>
      <c r="AC74" s="25" t="str" cm="1">
        <f t="array" ref="AC74">IFERROR(INDEX(TABLE!$D$5:$D$18,MATCH(1,(TABLE!$A$5:$A$18=D74)*(TABLE!$B$5:$B$18&lt;=AB74)*(TABLE!$C$5:$C$18&gt;=AB74),0)),"対策前")</f>
        <v>M対策2</v>
      </c>
      <c r="AD74" s="20"/>
      <c r="AE74" s="19"/>
      <c r="AF74" s="19"/>
      <c r="AG74" s="19" t="s">
        <v>637</v>
      </c>
      <c r="AH74" s="19"/>
      <c r="AI74" s="19"/>
      <c r="AJ74" s="19"/>
      <c r="AK74" s="19"/>
      <c r="AL74" s="29"/>
      <c r="AM74" s="29"/>
      <c r="AN74" s="20"/>
      <c r="AO74" s="20"/>
      <c r="AP74" s="20"/>
      <c r="AQ74" s="19" t="s">
        <v>648</v>
      </c>
      <c r="AR74" s="199" t="s">
        <v>923</v>
      </c>
      <c r="AS74" s="19" t="s">
        <v>610</v>
      </c>
      <c r="AU74" s="180"/>
      <c r="AV74" s="181"/>
      <c r="AW74" s="182"/>
      <c r="AX74" s="180"/>
      <c r="AY74" s="181"/>
      <c r="AZ74" s="182"/>
      <c r="BA74" s="180"/>
      <c r="BB74" s="181"/>
      <c r="BC74" s="182"/>
    </row>
    <row r="75" spans="1:55" ht="61" customHeight="1" x14ac:dyDescent="0.55000000000000004">
      <c r="A75" s="198" t="s">
        <v>612</v>
      </c>
      <c r="B75" s="19"/>
      <c r="C75" s="19">
        <v>71</v>
      </c>
      <c r="D75" s="19" t="s">
        <v>136</v>
      </c>
      <c r="E75" s="19" t="s">
        <v>138</v>
      </c>
      <c r="F75" s="19" t="str">
        <f>IFERROR(VLOOKUP(E75,TABLE!$A$27:$B$48,2,FALSE),"")</f>
        <v>ACCORD</v>
      </c>
      <c r="G75" s="65"/>
      <c r="H75" s="19" t="s">
        <v>191</v>
      </c>
      <c r="I75" s="19"/>
      <c r="J75" s="19" t="s">
        <v>205</v>
      </c>
      <c r="K75" s="20">
        <v>5436.8</v>
      </c>
      <c r="L75" s="20">
        <v>1</v>
      </c>
      <c r="M75" s="20"/>
      <c r="N75" s="19" t="s">
        <v>140</v>
      </c>
      <c r="O75" s="194">
        <v>45191</v>
      </c>
      <c r="P75" s="194"/>
      <c r="Q75" s="196" t="s">
        <v>919</v>
      </c>
      <c r="R75" s="20" t="s">
        <v>616</v>
      </c>
      <c r="S75" s="20" t="str">
        <f>IFERROR(VLOOKUP(W75,'TB 各拠点LCM搭載機種一覧 (全拠点）'!$C$12:$K$14,8,FALSE),"")</f>
        <v/>
      </c>
      <c r="T75" s="20" t="str">
        <f>IFERROR(VLOOKUP(W75,'TB 各拠点LCM搭載機種一覧 (全拠点）'!$C$12:$K$14,9,FALSE),"")</f>
        <v/>
      </c>
      <c r="U75" s="20" t="s">
        <v>607</v>
      </c>
      <c r="V75" s="20" t="s">
        <v>605</v>
      </c>
      <c r="W75" s="19"/>
      <c r="X75" s="20"/>
      <c r="Y75" s="20" t="str">
        <f>IFERROR(VLOOKUP(W75,'TB 各拠点LCM搭載機種一覧 (全拠点）'!$C$12:$K$14,2,FALSE),"")</f>
        <v/>
      </c>
      <c r="Z75" s="20" t="str">
        <f>IFERROR(VLOOKUP(W75,'TB 各拠点LCM搭載機種一覧 (全拠点）'!$C$12:$K$14,3,FALSE),"")</f>
        <v/>
      </c>
      <c r="AA75" s="20" t="str">
        <f>IFERROR(VLOOKUP(W75,'TB 各拠点LCM搭載機種一覧 (全拠点）'!$C$12:$K$14,4,FALSE),"")</f>
        <v/>
      </c>
      <c r="AB75" s="192">
        <v>45045</v>
      </c>
      <c r="AC75" s="25" t="str" cm="1">
        <f t="array" ref="AC75">IFERROR(INDEX(TABLE!$D$5:$D$18,MATCH(1,(TABLE!$A$5:$A$18=D75)*(TABLE!$B$5:$B$18&lt;=AB75)*(TABLE!$C$5:$C$18&gt;=AB75),0)),"対策前")</f>
        <v>M対策3</v>
      </c>
      <c r="AD75" s="20"/>
      <c r="AE75" s="19"/>
      <c r="AF75" s="19"/>
      <c r="AG75" s="19" t="s">
        <v>637</v>
      </c>
      <c r="AH75" s="19"/>
      <c r="AI75" s="19"/>
      <c r="AJ75" s="19"/>
      <c r="AK75" s="19"/>
      <c r="AL75" s="29"/>
      <c r="AM75" s="29"/>
      <c r="AN75" s="20"/>
      <c r="AO75" s="20"/>
      <c r="AP75" s="20"/>
      <c r="AQ75" s="19" t="s">
        <v>648</v>
      </c>
      <c r="AR75" s="200" t="s">
        <v>923</v>
      </c>
      <c r="AS75" s="19" t="s">
        <v>610</v>
      </c>
      <c r="AU75" s="180"/>
      <c r="AV75" s="181"/>
      <c r="AW75" s="182"/>
      <c r="AX75" s="180"/>
      <c r="AY75" s="181"/>
      <c r="AZ75" s="182"/>
      <c r="BA75" s="180"/>
      <c r="BB75" s="181"/>
      <c r="BC75" s="182"/>
    </row>
    <row r="76" spans="1:55" ht="61" customHeight="1" x14ac:dyDescent="0.55000000000000004">
      <c r="A76" s="198"/>
      <c r="B76" s="19"/>
      <c r="C76" s="19">
        <v>72</v>
      </c>
      <c r="D76" s="19" t="s">
        <v>136</v>
      </c>
      <c r="E76" s="19" t="s">
        <v>138</v>
      </c>
      <c r="F76" s="19" t="str">
        <f>IFERROR(VLOOKUP(E76,TABLE!$A$27:$B$48,2,FALSE),"")</f>
        <v>ACCORD</v>
      </c>
      <c r="G76" s="65"/>
      <c r="H76" s="19" t="s">
        <v>191</v>
      </c>
      <c r="I76" s="19"/>
      <c r="J76" s="19" t="s">
        <v>205</v>
      </c>
      <c r="K76" s="20">
        <v>7880</v>
      </c>
      <c r="L76" s="20">
        <v>1</v>
      </c>
      <c r="M76" s="20"/>
      <c r="N76" s="19" t="s">
        <v>140</v>
      </c>
      <c r="O76" s="195">
        <v>45232</v>
      </c>
      <c r="P76" s="195"/>
      <c r="Q76" s="196" t="s">
        <v>918</v>
      </c>
      <c r="R76" s="20" t="s">
        <v>617</v>
      </c>
      <c r="S76" s="20" t="str">
        <f>IFERROR(VLOOKUP(W76,'TB 各拠点LCM搭載機種一覧 (全拠点）'!$C$12:$K$14,8,FALSE),"")</f>
        <v/>
      </c>
      <c r="T76" s="20" t="str">
        <f>IFERROR(VLOOKUP(W76,'TB 各拠点LCM搭載機種一覧 (全拠点）'!$C$12:$K$14,9,FALSE),"")</f>
        <v/>
      </c>
      <c r="U76" s="20" t="s">
        <v>607</v>
      </c>
      <c r="V76" s="20" t="s">
        <v>605</v>
      </c>
      <c r="W76" s="19"/>
      <c r="X76" s="20"/>
      <c r="Y76" s="20" t="str">
        <f>IFERROR(VLOOKUP(W76,'TB 各拠点LCM搭載機種一覧 (全拠点）'!$C$12:$K$14,2,FALSE),"")</f>
        <v/>
      </c>
      <c r="Z76" s="20" t="str">
        <f>IFERROR(VLOOKUP(W76,'TB 各拠点LCM搭載機種一覧 (全拠点）'!$C$12:$K$14,3,FALSE),"")</f>
        <v/>
      </c>
      <c r="AA76" s="20" t="str">
        <f>IFERROR(VLOOKUP(W76,'TB 各拠点LCM搭載機種一覧 (全拠点）'!$C$12:$K$14,4,FALSE),"")</f>
        <v/>
      </c>
      <c r="AB76" s="193">
        <v>44954</v>
      </c>
      <c r="AC76" s="25" t="str" cm="1">
        <f t="array" aca="1" ref="AC76" ca="1">IFERROR(INDEX(TABLE!$D$5:$D$18,MATCH(1,(TABLE!$A$5:$A$18=D76)*(TABLE!$B$5:$B$18&lt;=AB76)*(TABLE!$C$5:$C$18&gt;=AB76),0)),"対策前")</f>
        <v>対策前</v>
      </c>
      <c r="AD76" s="19"/>
      <c r="AE76" s="19"/>
      <c r="AF76" s="19"/>
      <c r="AG76" s="19" t="s">
        <v>637</v>
      </c>
      <c r="AH76" s="19"/>
      <c r="AI76" s="42"/>
      <c r="AJ76" s="19"/>
      <c r="AK76" s="19"/>
      <c r="AL76" s="19"/>
      <c r="AM76" s="42"/>
      <c r="AN76" s="20"/>
      <c r="AO76" s="20"/>
      <c r="AP76" s="20"/>
      <c r="AQ76" s="19" t="s">
        <v>648</v>
      </c>
      <c r="AR76" s="200" t="s">
        <v>923</v>
      </c>
      <c r="AS76" s="19" t="s">
        <v>610</v>
      </c>
      <c r="AU76" s="180"/>
      <c r="AV76" s="181"/>
      <c r="AW76" s="182"/>
      <c r="AX76" s="180"/>
      <c r="AY76" s="181"/>
      <c r="AZ76" s="182"/>
      <c r="BA76" s="180"/>
      <c r="BB76" s="181"/>
      <c r="BC76" s="182"/>
    </row>
    <row r="77" spans="1:55" ht="61" customHeight="1" x14ac:dyDescent="0.55000000000000004">
      <c r="A77" s="198"/>
      <c r="B77" s="19"/>
      <c r="C77" s="19">
        <v>73</v>
      </c>
      <c r="D77" s="19" t="s">
        <v>136</v>
      </c>
      <c r="E77" s="19" t="s">
        <v>138</v>
      </c>
      <c r="F77" s="19" t="str">
        <f>IFERROR(VLOOKUP(E77,TABLE!$A$27:$B$48,2,FALSE),"")</f>
        <v>ACCORD</v>
      </c>
      <c r="G77" s="65"/>
      <c r="H77" s="19" t="s">
        <v>191</v>
      </c>
      <c r="I77" s="19"/>
      <c r="J77" s="19" t="s">
        <v>205</v>
      </c>
      <c r="K77" s="20">
        <v>4264</v>
      </c>
      <c r="L77" s="20">
        <v>1</v>
      </c>
      <c r="M77" s="20"/>
      <c r="N77" s="19" t="s">
        <v>140</v>
      </c>
      <c r="O77" s="194">
        <v>45222</v>
      </c>
      <c r="P77" s="194"/>
      <c r="Q77" s="196" t="s">
        <v>917</v>
      </c>
      <c r="R77" s="20" t="s">
        <v>618</v>
      </c>
      <c r="S77" s="20" t="str">
        <f>IFERROR(VLOOKUP(W77,'TB 各拠点LCM搭載機種一覧 (全拠点）'!$C$12:$K$14,8,FALSE),"")</f>
        <v/>
      </c>
      <c r="T77" s="20" t="str">
        <f>IFERROR(VLOOKUP(W77,'TB 各拠点LCM搭載機種一覧 (全拠点）'!$C$12:$K$14,9,FALSE),"")</f>
        <v/>
      </c>
      <c r="U77" s="20" t="s">
        <v>607</v>
      </c>
      <c r="V77" s="20" t="s">
        <v>605</v>
      </c>
      <c r="W77" s="19"/>
      <c r="X77" s="20"/>
      <c r="Y77" s="20" t="str">
        <f>IFERROR(VLOOKUP(W77,'TB 各拠点LCM搭載機種一覧 (全拠点）'!$C$12:$K$14,2,FALSE),"")</f>
        <v/>
      </c>
      <c r="Z77" s="20" t="str">
        <f>IFERROR(VLOOKUP(W77,'TB 各拠点LCM搭載機種一覧 (全拠点）'!$C$12:$K$14,3,FALSE),"")</f>
        <v/>
      </c>
      <c r="AA77" s="20" t="str">
        <f>IFERROR(VLOOKUP(W77,'TB 各拠点LCM搭載機種一覧 (全拠点）'!$C$12:$K$14,4,FALSE),"")</f>
        <v/>
      </c>
      <c r="AB77" s="192">
        <v>45132</v>
      </c>
      <c r="AC77" s="25" t="str" cm="1">
        <f t="array" ref="AC77">IFERROR(INDEX(TABLE!$D$5:$D$18,MATCH(1,(TABLE!$A$5:$A$18=D77)*(TABLE!$B$5:$B$18&lt;=AB77)*(TABLE!$C$5:$C$18&gt;=AB77),0)),"対策前")</f>
        <v>M対策4</v>
      </c>
      <c r="AD77" s="20"/>
      <c r="AE77" s="19"/>
      <c r="AF77" s="19"/>
      <c r="AG77" s="19" t="s">
        <v>637</v>
      </c>
      <c r="AH77" s="19"/>
      <c r="AI77" s="20"/>
      <c r="AJ77" s="19"/>
      <c r="AK77" s="19"/>
      <c r="AL77" s="19"/>
      <c r="AM77" s="20"/>
      <c r="AN77" s="20"/>
      <c r="AO77" s="20"/>
      <c r="AP77" s="20"/>
      <c r="AQ77" s="19" t="s">
        <v>648</v>
      </c>
      <c r="AR77" s="200" t="s">
        <v>923</v>
      </c>
      <c r="AS77" s="19" t="s">
        <v>610</v>
      </c>
      <c r="AU77" s="180"/>
      <c r="AV77" s="181"/>
      <c r="AW77" s="182"/>
      <c r="AX77" s="180"/>
      <c r="AY77" s="181"/>
      <c r="AZ77" s="182"/>
      <c r="BA77" s="180"/>
      <c r="BB77" s="181"/>
      <c r="BC77" s="182"/>
    </row>
    <row r="78" spans="1:55" ht="61" customHeight="1" x14ac:dyDescent="0.55000000000000004">
      <c r="A78" s="198"/>
      <c r="B78" s="19"/>
      <c r="C78" s="19">
        <v>74</v>
      </c>
      <c r="D78" s="19" t="s">
        <v>136</v>
      </c>
      <c r="E78" s="19" t="s">
        <v>138</v>
      </c>
      <c r="F78" s="19" t="str">
        <f>IFERROR(VLOOKUP(E78,TABLE!$A$27:$B$48,2,FALSE),"")</f>
        <v>ACCORD</v>
      </c>
      <c r="G78" s="65"/>
      <c r="H78" s="19" t="s">
        <v>191</v>
      </c>
      <c r="I78" s="19"/>
      <c r="J78" s="19" t="s">
        <v>205</v>
      </c>
      <c r="K78" s="20">
        <v>72</v>
      </c>
      <c r="L78" s="20">
        <v>1</v>
      </c>
      <c r="M78" s="20"/>
      <c r="N78" s="19" t="s">
        <v>140</v>
      </c>
      <c r="O78" s="195">
        <v>45244</v>
      </c>
      <c r="P78" s="195"/>
      <c r="Q78" s="66" t="s">
        <v>613</v>
      </c>
      <c r="R78" s="20" t="s">
        <v>619</v>
      </c>
      <c r="S78" s="20" t="str">
        <f>IFERROR(VLOOKUP(W78,'TB 各拠点LCM搭載機種一覧 (全拠点）'!$C$12:$K$14,8,FALSE),"")</f>
        <v/>
      </c>
      <c r="T78" s="20" t="str">
        <f>IFERROR(VLOOKUP(W78,'TB 各拠点LCM搭載機種一覧 (全拠点）'!$C$12:$K$14,9,FALSE),"")</f>
        <v/>
      </c>
      <c r="U78" s="20" t="s">
        <v>607</v>
      </c>
      <c r="V78" s="20" t="s">
        <v>605</v>
      </c>
      <c r="W78" s="19"/>
      <c r="X78" s="20"/>
      <c r="Y78" s="20" t="str">
        <f>IFERROR(VLOOKUP(W78,'TB 各拠点LCM搭載機種一覧 (全拠点）'!$C$12:$K$14,2,FALSE),"")</f>
        <v/>
      </c>
      <c r="Z78" s="20" t="str">
        <f>IFERROR(VLOOKUP(W78,'TB 各拠点LCM搭載機種一覧 (全拠点）'!$C$12:$K$14,3,FALSE),"")</f>
        <v/>
      </c>
      <c r="AA78" s="20" t="str">
        <f>IFERROR(VLOOKUP(W78,'TB 各拠点LCM搭載機種一覧 (全拠点）'!$C$12:$K$14,4,FALSE),"")</f>
        <v/>
      </c>
      <c r="AB78" s="193">
        <v>45108</v>
      </c>
      <c r="AC78" s="25" t="str" cm="1">
        <f t="array" ref="AC78">IFERROR(INDEX(TABLE!$D$5:$D$18,MATCH(1,(TABLE!$A$5:$A$18=D78)*(TABLE!$B$5:$B$18&lt;=AB78)*(TABLE!$C$5:$C$18&gt;=AB78),0)),"対策前")</f>
        <v>M対策4</v>
      </c>
      <c r="AD78" s="20"/>
      <c r="AE78" s="20"/>
      <c r="AF78" s="20"/>
      <c r="AG78" s="19" t="s">
        <v>637</v>
      </c>
      <c r="AH78" s="19"/>
      <c r="AI78" s="19"/>
      <c r="AJ78" s="19"/>
      <c r="AK78" s="19"/>
      <c r="AL78" s="19"/>
      <c r="AM78" s="19"/>
      <c r="AN78" s="19"/>
      <c r="AO78" s="20"/>
      <c r="AP78" s="20"/>
      <c r="AQ78" s="19" t="s">
        <v>648</v>
      </c>
      <c r="AR78" s="200" t="s">
        <v>924</v>
      </c>
      <c r="AS78" s="19" t="s">
        <v>610</v>
      </c>
      <c r="AU78" s="180"/>
      <c r="AV78" s="181"/>
      <c r="AW78" s="182"/>
      <c r="AX78" s="180"/>
      <c r="AY78" s="181"/>
      <c r="AZ78" s="182"/>
      <c r="BA78" s="180"/>
      <c r="BB78" s="181"/>
      <c r="BC78" s="182"/>
    </row>
    <row r="79" spans="1:55" ht="61" customHeight="1" x14ac:dyDescent="0.55000000000000004">
      <c r="A79" s="198"/>
      <c r="B79" s="19"/>
      <c r="C79" s="19">
        <v>75</v>
      </c>
      <c r="D79" s="19" t="s">
        <v>136</v>
      </c>
      <c r="E79" s="19" t="s">
        <v>138</v>
      </c>
      <c r="F79" s="19" t="str">
        <f>IFERROR(VLOOKUP(E79,TABLE!$A$27:$B$48,2,FALSE),"")</f>
        <v>ACCORD</v>
      </c>
      <c r="G79" s="65"/>
      <c r="H79" s="19" t="s">
        <v>191</v>
      </c>
      <c r="I79" s="19"/>
      <c r="J79" s="19" t="s">
        <v>205</v>
      </c>
      <c r="K79" s="20">
        <v>790.40000000000009</v>
      </c>
      <c r="L79" s="20">
        <v>1</v>
      </c>
      <c r="M79" s="20"/>
      <c r="N79" s="19" t="s">
        <v>140</v>
      </c>
      <c r="O79" s="194">
        <v>45239</v>
      </c>
      <c r="P79" s="194"/>
      <c r="Q79" s="196" t="s">
        <v>916</v>
      </c>
      <c r="R79" s="20" t="s">
        <v>620</v>
      </c>
      <c r="S79" s="20" t="str">
        <f>IFERROR(VLOOKUP(W79,'TB 各拠点LCM搭載機種一覧 (全拠点）'!$C$12:$K$14,8,FALSE),"")</f>
        <v/>
      </c>
      <c r="T79" s="20" t="str">
        <f>IFERROR(VLOOKUP(W79,'TB 各拠点LCM搭載機種一覧 (全拠点）'!$C$12:$K$14,9,FALSE),"")</f>
        <v/>
      </c>
      <c r="U79" s="20" t="s">
        <v>607</v>
      </c>
      <c r="V79" s="20" t="s">
        <v>605</v>
      </c>
      <c r="W79" s="19"/>
      <c r="X79" s="20"/>
      <c r="Y79" s="20" t="str">
        <f>IFERROR(VLOOKUP(W79,'TB 各拠点LCM搭載機種一覧 (全拠点）'!$C$12:$K$14,2,FALSE),"")</f>
        <v/>
      </c>
      <c r="Z79" s="20" t="str">
        <f>IFERROR(VLOOKUP(W79,'TB 各拠点LCM搭載機種一覧 (全拠点）'!$C$12:$K$14,3,FALSE),"")</f>
        <v/>
      </c>
      <c r="AA79" s="20" t="str">
        <f>IFERROR(VLOOKUP(W79,'TB 各拠点LCM搭載機種一覧 (全拠点）'!$C$12:$K$14,4,FALSE),"")</f>
        <v/>
      </c>
      <c r="AB79" s="192">
        <v>45129</v>
      </c>
      <c r="AC79" s="25" t="str" cm="1">
        <f t="array" ref="AC79">IFERROR(INDEX(TABLE!$D$5:$D$18,MATCH(1,(TABLE!$A$5:$A$18=D79)*(TABLE!$B$5:$B$18&lt;=AB79)*(TABLE!$C$5:$C$18&gt;=AB79),0)),"対策前")</f>
        <v>M対策4</v>
      </c>
      <c r="AD79" s="20"/>
      <c r="AE79" s="20"/>
      <c r="AF79" s="20"/>
      <c r="AG79" s="19" t="s">
        <v>637</v>
      </c>
      <c r="AH79" s="19"/>
      <c r="AI79" s="19"/>
      <c r="AJ79" s="19"/>
      <c r="AK79" s="19"/>
      <c r="AL79" s="19"/>
      <c r="AM79" s="19"/>
      <c r="AN79" s="19"/>
      <c r="AO79" s="20"/>
      <c r="AP79" s="20"/>
      <c r="AQ79" s="19" t="s">
        <v>648</v>
      </c>
      <c r="AR79" s="200" t="s">
        <v>923</v>
      </c>
      <c r="AS79" s="19" t="s">
        <v>610</v>
      </c>
      <c r="AU79" s="180"/>
      <c r="AV79" s="181"/>
      <c r="AW79" s="182"/>
      <c r="AX79" s="180"/>
      <c r="AY79" s="181"/>
      <c r="AZ79" s="182"/>
      <c r="BA79" s="180"/>
      <c r="BB79" s="181"/>
      <c r="BC79" s="182"/>
    </row>
    <row r="80" spans="1:55" ht="61" customHeight="1" x14ac:dyDescent="0.55000000000000004">
      <c r="A80" s="198"/>
      <c r="B80" s="19"/>
      <c r="C80" s="19">
        <v>76</v>
      </c>
      <c r="D80" s="19" t="s">
        <v>136</v>
      </c>
      <c r="E80" s="19" t="s">
        <v>138</v>
      </c>
      <c r="F80" s="19" t="str">
        <f>IFERROR(VLOOKUP(E80,TABLE!$A$27:$B$48,2,FALSE),"")</f>
        <v>ACCORD</v>
      </c>
      <c r="G80" s="65"/>
      <c r="H80" s="19"/>
      <c r="I80" s="19"/>
      <c r="J80" s="19" t="s">
        <v>205</v>
      </c>
      <c r="K80" s="20">
        <v>11620.800000000001</v>
      </c>
      <c r="L80" s="20">
        <v>1</v>
      </c>
      <c r="M80" s="20"/>
      <c r="N80" s="19" t="s">
        <v>140</v>
      </c>
      <c r="O80" s="195">
        <v>45273</v>
      </c>
      <c r="P80" s="195"/>
      <c r="Q80" s="196" t="s">
        <v>915</v>
      </c>
      <c r="R80" s="20" t="s">
        <v>621</v>
      </c>
      <c r="S80" s="20" t="str">
        <f>IFERROR(VLOOKUP(W80,'TB 各拠点LCM搭載機種一覧 (全拠点）'!$C$12:$K$14,8,FALSE),"")</f>
        <v/>
      </c>
      <c r="T80" s="20" t="str">
        <f>IFERROR(VLOOKUP(W80,'TB 各拠点LCM搭載機種一覧 (全拠点）'!$C$12:$K$14,9,FALSE),"")</f>
        <v/>
      </c>
      <c r="U80" s="20" t="s">
        <v>608</v>
      </c>
      <c r="V80" s="20" t="s">
        <v>605</v>
      </c>
      <c r="W80" s="19"/>
      <c r="X80" s="20"/>
      <c r="Y80" s="20" t="str">
        <f>IFERROR(VLOOKUP(W80,'TB 各拠点LCM搭載機種一覧 (全拠点）'!$C$12:$K$14,2,FALSE),"")</f>
        <v/>
      </c>
      <c r="Z80" s="20" t="str">
        <f>IFERROR(VLOOKUP(W80,'TB 各拠点LCM搭載機種一覧 (全拠点）'!$C$12:$K$14,3,FALSE),"")</f>
        <v/>
      </c>
      <c r="AA80" s="20" t="str">
        <f>IFERROR(VLOOKUP(W80,'TB 各拠点LCM搭載機種一覧 (全拠点）'!$C$12:$K$14,4,FALSE),"")</f>
        <v/>
      </c>
      <c r="AB80" s="193">
        <v>45126</v>
      </c>
      <c r="AC80" s="25" t="str" cm="1">
        <f t="array" ref="AC80">IFERROR(INDEX(TABLE!$D$5:$D$18,MATCH(1,(TABLE!$A$5:$A$18=D80)*(TABLE!$B$5:$B$18&lt;=AB80)*(TABLE!$C$5:$C$18&gt;=AB80),0)),"対策前")</f>
        <v>M対策4</v>
      </c>
      <c r="AD80" s="41"/>
      <c r="AE80" s="20"/>
      <c r="AF80" s="20"/>
      <c r="AG80" s="19" t="s">
        <v>637</v>
      </c>
      <c r="AH80" s="24"/>
      <c r="AI80" s="20"/>
      <c r="AJ80" s="60"/>
      <c r="AK80" s="20"/>
      <c r="AL80" s="20"/>
      <c r="AM80" s="60"/>
      <c r="AN80" s="42"/>
      <c r="AO80" s="43"/>
      <c r="AP80" s="20"/>
      <c r="AQ80" s="19" t="s">
        <v>648</v>
      </c>
      <c r="AR80" s="200" t="s">
        <v>923</v>
      </c>
      <c r="AS80" s="19" t="s">
        <v>610</v>
      </c>
      <c r="AU80" s="180"/>
      <c r="AV80" s="181"/>
      <c r="AW80" s="182"/>
      <c r="AX80" s="180"/>
      <c r="AY80" s="181"/>
      <c r="AZ80" s="182"/>
      <c r="BA80" s="180"/>
      <c r="BB80" s="181"/>
      <c r="BC80" s="182"/>
    </row>
    <row r="81" spans="1:55" ht="61" customHeight="1" x14ac:dyDescent="0.55000000000000004">
      <c r="A81" s="198"/>
      <c r="B81" s="19"/>
      <c r="C81" s="19">
        <v>77</v>
      </c>
      <c r="D81" s="19" t="s">
        <v>136</v>
      </c>
      <c r="E81" s="19" t="s">
        <v>138</v>
      </c>
      <c r="F81" s="19" t="str">
        <f>IFERROR(VLOOKUP(E81,TABLE!$A$27:$B$48,2,FALSE),"")</f>
        <v>ACCORD</v>
      </c>
      <c r="G81" s="65"/>
      <c r="H81" s="19"/>
      <c r="I81" s="19"/>
      <c r="J81" s="19" t="s">
        <v>205</v>
      </c>
      <c r="K81" s="20">
        <v>5240</v>
      </c>
      <c r="L81" s="20">
        <v>1</v>
      </c>
      <c r="M81" s="20"/>
      <c r="N81" s="19" t="s">
        <v>140</v>
      </c>
      <c r="O81" s="194">
        <v>45264</v>
      </c>
      <c r="P81" s="194"/>
      <c r="Q81" s="66" t="s">
        <v>914</v>
      </c>
      <c r="R81" s="20" t="s">
        <v>622</v>
      </c>
      <c r="S81" s="20" t="str">
        <f>IFERROR(VLOOKUP(W81,'TB 各拠点LCM搭載機種一覧 (全拠点）'!$C$12:$K$14,8,FALSE),"")</f>
        <v/>
      </c>
      <c r="T81" s="20" t="str">
        <f>IFERROR(VLOOKUP(W81,'TB 各拠点LCM搭載機種一覧 (全拠点）'!$C$12:$K$14,9,FALSE),"")</f>
        <v/>
      </c>
      <c r="U81" s="20" t="s">
        <v>608</v>
      </c>
      <c r="V81" s="20" t="s">
        <v>605</v>
      </c>
      <c r="W81" s="19"/>
      <c r="X81" s="20"/>
      <c r="Y81" s="20" t="str">
        <f>IFERROR(VLOOKUP(W81,'TB 各拠点LCM搭載機種一覧 (全拠点）'!$C$12:$K$14,2,FALSE),"")</f>
        <v/>
      </c>
      <c r="Z81" s="20" t="str">
        <f>IFERROR(VLOOKUP(W81,'TB 各拠点LCM搭載機種一覧 (全拠点）'!$C$12:$K$14,3,FALSE),"")</f>
        <v/>
      </c>
      <c r="AA81" s="20" t="str">
        <f>IFERROR(VLOOKUP(W81,'TB 各拠点LCM搭載機種一覧 (全拠点）'!$C$12:$K$14,4,FALSE),"")</f>
        <v/>
      </c>
      <c r="AB81" s="192">
        <v>45064</v>
      </c>
      <c r="AC81" s="25" t="str" cm="1">
        <f t="array" ref="AC81">IFERROR(INDEX(TABLE!$D$5:$D$18,MATCH(1,(TABLE!$A$5:$A$18=D81)*(TABLE!$B$5:$B$18&lt;=AB81)*(TABLE!$C$5:$C$18&gt;=AB81),0)),"対策前")</f>
        <v>M対策3</v>
      </c>
      <c r="AD81" s="20"/>
      <c r="AE81" s="20"/>
      <c r="AF81" s="20"/>
      <c r="AG81" s="19" t="s">
        <v>637</v>
      </c>
      <c r="AH81" s="43"/>
      <c r="AI81" s="20"/>
      <c r="AJ81" s="42"/>
      <c r="AK81" s="20"/>
      <c r="AL81" s="20"/>
      <c r="AM81" s="29"/>
      <c r="AN81" s="20"/>
      <c r="AO81" s="20"/>
      <c r="AP81" s="20"/>
      <c r="AQ81" s="19" t="s">
        <v>648</v>
      </c>
      <c r="AR81" s="199" t="s">
        <v>924</v>
      </c>
      <c r="AS81" s="19" t="s">
        <v>610</v>
      </c>
      <c r="AU81" s="180"/>
      <c r="AV81" s="181"/>
      <c r="AW81" s="182"/>
      <c r="AX81" s="180"/>
      <c r="AY81" s="181"/>
      <c r="AZ81" s="182"/>
      <c r="BA81" s="180"/>
      <c r="BB81" s="181"/>
      <c r="BC81" s="182"/>
    </row>
    <row r="82" spans="1:55" ht="61" customHeight="1" x14ac:dyDescent="0.55000000000000004">
      <c r="A82" s="198"/>
      <c r="B82" s="19"/>
      <c r="C82" s="19">
        <v>78</v>
      </c>
      <c r="D82" s="19" t="s">
        <v>136</v>
      </c>
      <c r="E82" s="19" t="s">
        <v>138</v>
      </c>
      <c r="F82" s="19" t="str">
        <f>IFERROR(VLOOKUP(E82,TABLE!$A$27:$B$48,2,FALSE),"")</f>
        <v>ACCORD</v>
      </c>
      <c r="G82" s="65"/>
      <c r="H82" s="19"/>
      <c r="I82" s="19"/>
      <c r="J82" s="19" t="s">
        <v>205</v>
      </c>
      <c r="K82" s="20">
        <v>3368</v>
      </c>
      <c r="L82" s="20">
        <v>1</v>
      </c>
      <c r="M82" s="20"/>
      <c r="N82" s="19" t="s">
        <v>140</v>
      </c>
      <c r="O82" s="195">
        <v>45267</v>
      </c>
      <c r="P82" s="195"/>
      <c r="Q82" s="196" t="s">
        <v>913</v>
      </c>
      <c r="R82" s="20" t="s">
        <v>623</v>
      </c>
      <c r="S82" s="20" t="str">
        <f>IFERROR(VLOOKUP(W82,'TB 各拠点LCM搭載機種一覧 (全拠点）'!$C$12:$K$14,8,FALSE),"")</f>
        <v/>
      </c>
      <c r="T82" s="20" t="str">
        <f>IFERROR(VLOOKUP(W82,'TB 各拠点LCM搭載機種一覧 (全拠点）'!$C$12:$K$14,9,FALSE),"")</f>
        <v/>
      </c>
      <c r="U82" s="20" t="s">
        <v>608</v>
      </c>
      <c r="V82" s="20" t="s">
        <v>605</v>
      </c>
      <c r="W82" s="19"/>
      <c r="X82" s="20"/>
      <c r="Y82" s="20" t="str">
        <f>IFERROR(VLOOKUP(W82,'TB 各拠点LCM搭載機種一覧 (全拠点）'!$C$12:$K$14,2,FALSE),"")</f>
        <v/>
      </c>
      <c r="Z82" s="20" t="str">
        <f>IFERROR(VLOOKUP(W82,'TB 各拠点LCM搭載機種一覧 (全拠点）'!$C$12:$K$14,3,FALSE),"")</f>
        <v/>
      </c>
      <c r="AA82" s="20" t="str">
        <f>IFERROR(VLOOKUP(W82,'TB 各拠点LCM搭載機種一覧 (全拠点）'!$C$12:$K$14,4,FALSE),"")</f>
        <v/>
      </c>
      <c r="AB82" s="193">
        <v>44980</v>
      </c>
      <c r="AC82" s="25" t="str" cm="1">
        <f t="array" ref="AC82">IFERROR(INDEX(TABLE!$D$5:$D$18,MATCH(1,(TABLE!$A$5:$A$18=D82)*(TABLE!$B$5:$B$18&lt;=AB82)*(TABLE!$C$5:$C$18&gt;=AB82),0)),"対策前")</f>
        <v>M対策1</v>
      </c>
      <c r="AD82" s="20"/>
      <c r="AE82" s="20"/>
      <c r="AF82" s="20"/>
      <c r="AG82" s="19" t="s">
        <v>637</v>
      </c>
      <c r="AH82" s="43"/>
      <c r="AI82" s="42"/>
      <c r="AJ82" s="42"/>
      <c r="AK82" s="20"/>
      <c r="AL82" s="20"/>
      <c r="AM82" s="29"/>
      <c r="AN82" s="20"/>
      <c r="AO82" s="20"/>
      <c r="AP82" s="20"/>
      <c r="AQ82" s="19" t="s">
        <v>648</v>
      </c>
      <c r="AR82" s="200" t="s">
        <v>923</v>
      </c>
      <c r="AS82" s="19" t="s">
        <v>610</v>
      </c>
      <c r="AU82" s="180"/>
      <c r="AV82" s="181"/>
      <c r="AW82" s="182"/>
      <c r="AX82" s="180"/>
      <c r="AY82" s="181"/>
      <c r="AZ82" s="182"/>
      <c r="BA82" s="180"/>
      <c r="BB82" s="181"/>
      <c r="BC82" s="182"/>
    </row>
    <row r="83" spans="1:55" ht="61" customHeight="1" x14ac:dyDescent="0.55000000000000004">
      <c r="A83" s="198"/>
      <c r="B83" s="19"/>
      <c r="C83" s="19">
        <v>79</v>
      </c>
      <c r="D83" s="19" t="s">
        <v>136</v>
      </c>
      <c r="E83" s="19" t="s">
        <v>138</v>
      </c>
      <c r="F83" s="19" t="str">
        <f>IFERROR(VLOOKUP(E83,TABLE!$A$27:$B$48,2,FALSE),"")</f>
        <v>ACCORD</v>
      </c>
      <c r="G83" s="65"/>
      <c r="H83" s="19" t="s">
        <v>191</v>
      </c>
      <c r="I83" s="19"/>
      <c r="J83" s="19" t="s">
        <v>205</v>
      </c>
      <c r="K83" s="20">
        <v>16</v>
      </c>
      <c r="L83" s="20">
        <v>1</v>
      </c>
      <c r="M83" s="20"/>
      <c r="N83" s="19" t="s">
        <v>140</v>
      </c>
      <c r="O83" s="194">
        <v>45281</v>
      </c>
      <c r="P83" s="194"/>
      <c r="Q83" s="196" t="s">
        <v>912</v>
      </c>
      <c r="R83" s="20" t="s">
        <v>624</v>
      </c>
      <c r="S83" s="20" t="str">
        <f>IFERROR(VLOOKUP(W83,'TB 各拠点LCM搭載機種一覧 (全拠点）'!$C$12:$K$14,8,FALSE),"")</f>
        <v/>
      </c>
      <c r="T83" s="20" t="str">
        <f>IFERROR(VLOOKUP(W83,'TB 各拠点LCM搭載機種一覧 (全拠点）'!$C$12:$K$14,9,FALSE),"")</f>
        <v/>
      </c>
      <c r="U83" s="20" t="s">
        <v>607</v>
      </c>
      <c r="V83" s="20" t="s">
        <v>605</v>
      </c>
      <c r="W83" s="19"/>
      <c r="X83" s="20"/>
      <c r="Y83" s="20" t="str">
        <f>IFERROR(VLOOKUP(W83,'TB 各拠点LCM搭載機種一覧 (全拠点）'!$C$12:$K$14,2,FALSE),"")</f>
        <v/>
      </c>
      <c r="Z83" s="20" t="str">
        <f>IFERROR(VLOOKUP(W83,'TB 各拠点LCM搭載機種一覧 (全拠点）'!$C$12:$K$14,3,FALSE),"")</f>
        <v/>
      </c>
      <c r="AA83" s="20" t="str">
        <f>IFERROR(VLOOKUP(W83,'TB 各拠点LCM搭載機種一覧 (全拠点）'!$C$12:$K$14,4,FALSE),"")</f>
        <v/>
      </c>
      <c r="AB83" s="192">
        <v>45218</v>
      </c>
      <c r="AC83" s="25" t="str" cm="1">
        <f t="array" ref="AC83">IFERROR(INDEX(TABLE!$D$5:$D$18,MATCH(1,(TABLE!$A$5:$A$18=D83)*(TABLE!$B$5:$B$18&lt;=AB83)*(TABLE!$C$5:$C$18&gt;=AB83),0)),"対策前")</f>
        <v>T対策2</v>
      </c>
      <c r="AD83" s="20"/>
      <c r="AE83" s="20"/>
      <c r="AF83" s="20"/>
      <c r="AG83" s="19" t="s">
        <v>637</v>
      </c>
      <c r="AH83" s="19"/>
      <c r="AI83" s="20"/>
      <c r="AJ83" s="20"/>
      <c r="AK83" s="20"/>
      <c r="AL83" s="20"/>
      <c r="AM83" s="29"/>
      <c r="AN83" s="20"/>
      <c r="AO83" s="20"/>
      <c r="AP83" s="20"/>
      <c r="AQ83" s="19" t="s">
        <v>648</v>
      </c>
      <c r="AR83" s="200" t="s">
        <v>923</v>
      </c>
      <c r="AS83" s="19" t="s">
        <v>610</v>
      </c>
      <c r="AU83" s="180"/>
      <c r="AV83" s="181"/>
      <c r="AW83" s="182"/>
      <c r="AX83" s="180"/>
      <c r="AY83" s="181"/>
      <c r="AZ83" s="182"/>
      <c r="BA83" s="180"/>
      <c r="BB83" s="181"/>
      <c r="BC83" s="182"/>
    </row>
    <row r="84" spans="1:55" ht="61" customHeight="1" x14ac:dyDescent="0.55000000000000004">
      <c r="A84" s="198"/>
      <c r="B84" s="19"/>
      <c r="C84" s="19">
        <v>80</v>
      </c>
      <c r="D84" s="19" t="s">
        <v>136</v>
      </c>
      <c r="E84" s="19" t="s">
        <v>138</v>
      </c>
      <c r="F84" s="19" t="str">
        <f>IFERROR(VLOOKUP(E84,TABLE!$A$27:$B$48,2,FALSE),"")</f>
        <v>ACCORD</v>
      </c>
      <c r="G84" s="65"/>
      <c r="H84" s="19" t="s">
        <v>191</v>
      </c>
      <c r="I84" s="19"/>
      <c r="J84" s="19" t="s">
        <v>205</v>
      </c>
      <c r="K84" s="20">
        <v>3825.6000000000004</v>
      </c>
      <c r="L84" s="20">
        <v>1</v>
      </c>
      <c r="M84" s="20"/>
      <c r="N84" s="19" t="s">
        <v>140</v>
      </c>
      <c r="O84" s="195">
        <v>45272</v>
      </c>
      <c r="P84" s="195"/>
      <c r="Q84" s="196" t="s">
        <v>911</v>
      </c>
      <c r="R84" s="20" t="s">
        <v>625</v>
      </c>
      <c r="S84" s="20" t="str">
        <f>IFERROR(VLOOKUP(W84,'TB 各拠点LCM搭載機種一覧 (全拠点）'!$C$12:$K$14,8,FALSE),"")</f>
        <v/>
      </c>
      <c r="T84" s="20" t="str">
        <f>IFERROR(VLOOKUP(W84,'TB 各拠点LCM搭載機種一覧 (全拠点）'!$C$12:$K$14,9,FALSE),"")</f>
        <v/>
      </c>
      <c r="U84" s="20" t="s">
        <v>607</v>
      </c>
      <c r="V84" s="20" t="s">
        <v>605</v>
      </c>
      <c r="W84" s="19"/>
      <c r="X84" s="20"/>
      <c r="Y84" s="20" t="str">
        <f>IFERROR(VLOOKUP(W84,'TB 各拠点LCM搭載機種一覧 (全拠点）'!$C$12:$K$14,2,FALSE),"")</f>
        <v/>
      </c>
      <c r="Z84" s="20" t="str">
        <f>IFERROR(VLOOKUP(W84,'TB 各拠点LCM搭載機種一覧 (全拠点）'!$C$12:$K$14,3,FALSE),"")</f>
        <v/>
      </c>
      <c r="AA84" s="20" t="str">
        <f>IFERROR(VLOOKUP(W84,'TB 各拠点LCM搭載機種一覧 (全拠点）'!$C$12:$K$14,4,FALSE),"")</f>
        <v/>
      </c>
      <c r="AB84" s="193">
        <v>45212</v>
      </c>
      <c r="AC84" s="25" t="str" cm="1">
        <f t="array" ref="AC84">IFERROR(INDEX(TABLE!$D$5:$D$18,MATCH(1,(TABLE!$A$5:$A$18=D84)*(TABLE!$B$5:$B$18&lt;=AB84)*(TABLE!$C$5:$C$18&gt;=AB84),0)),"対策前")</f>
        <v>T対策1</v>
      </c>
      <c r="AD84" s="20"/>
      <c r="AE84" s="20"/>
      <c r="AF84" s="20"/>
      <c r="AG84" s="19" t="s">
        <v>637</v>
      </c>
      <c r="AH84" s="19"/>
      <c r="AI84" s="20"/>
      <c r="AJ84" s="20"/>
      <c r="AK84" s="20"/>
      <c r="AL84" s="20"/>
      <c r="AM84" s="29"/>
      <c r="AN84" s="20"/>
      <c r="AO84" s="20"/>
      <c r="AP84" s="20"/>
      <c r="AQ84" s="19" t="s">
        <v>648</v>
      </c>
      <c r="AR84" s="200" t="s">
        <v>923</v>
      </c>
      <c r="AS84" s="19" t="s">
        <v>610</v>
      </c>
      <c r="AU84" s="180"/>
      <c r="AV84" s="181"/>
      <c r="AW84" s="182"/>
      <c r="AX84" s="180"/>
      <c r="AY84" s="181"/>
      <c r="AZ84" s="182"/>
      <c r="BA84" s="180"/>
      <c r="BB84" s="181"/>
      <c r="BC84" s="182"/>
    </row>
    <row r="85" spans="1:55" ht="61" customHeight="1" x14ac:dyDescent="0.55000000000000004">
      <c r="A85" s="198"/>
      <c r="B85" s="19"/>
      <c r="C85" s="19">
        <v>81</v>
      </c>
      <c r="D85" s="19" t="s">
        <v>136</v>
      </c>
      <c r="E85" s="19" t="s">
        <v>138</v>
      </c>
      <c r="F85" s="19" t="str">
        <f>IFERROR(VLOOKUP(E85,TABLE!$A$27:$B$48,2,FALSE),"")</f>
        <v>ACCORD</v>
      </c>
      <c r="G85" s="65"/>
      <c r="H85" s="19" t="s">
        <v>191</v>
      </c>
      <c r="I85" s="19"/>
      <c r="J85" s="19" t="s">
        <v>205</v>
      </c>
      <c r="K85" s="20">
        <v>11270.400000000001</v>
      </c>
      <c r="L85" s="20">
        <v>1</v>
      </c>
      <c r="M85" s="20"/>
      <c r="N85" s="19" t="s">
        <v>140</v>
      </c>
      <c r="O85" s="194">
        <v>45275</v>
      </c>
      <c r="P85" s="194"/>
      <c r="Q85" s="196" t="s">
        <v>910</v>
      </c>
      <c r="R85" s="20" t="s">
        <v>626</v>
      </c>
      <c r="S85" s="20" t="str">
        <f>IFERROR(VLOOKUP(W85,'TB 各拠点LCM搭載機種一覧 (全拠点）'!$C$12:$K$14,8,FALSE),"")</f>
        <v/>
      </c>
      <c r="T85" s="20" t="str">
        <f>IFERROR(VLOOKUP(W85,'TB 各拠点LCM搭載機種一覧 (全拠点）'!$C$12:$K$14,9,FALSE),"")</f>
        <v/>
      </c>
      <c r="U85" s="20" t="s">
        <v>607</v>
      </c>
      <c r="V85" s="20" t="s">
        <v>605</v>
      </c>
      <c r="W85" s="19"/>
      <c r="X85" s="20"/>
      <c r="Y85" s="20" t="str">
        <f>IFERROR(VLOOKUP(W85,'TB 各拠点LCM搭載機種一覧 (全拠点）'!$C$12:$K$14,2,FALSE),"")</f>
        <v/>
      </c>
      <c r="Z85" s="20" t="str">
        <f>IFERROR(VLOOKUP(W85,'TB 各拠点LCM搭載機種一覧 (全拠点）'!$C$12:$K$14,3,FALSE),"")</f>
        <v/>
      </c>
      <c r="AA85" s="20" t="str">
        <f>IFERROR(VLOOKUP(W85,'TB 各拠点LCM搭載機種一覧 (全拠点）'!$C$12:$K$14,4,FALSE),"")</f>
        <v/>
      </c>
      <c r="AB85" s="192">
        <v>45043</v>
      </c>
      <c r="AC85" s="25" t="str" cm="1">
        <f t="array" ref="AC85">IFERROR(INDEX(TABLE!$D$5:$D$18,MATCH(1,(TABLE!$A$5:$A$18=D85)*(TABLE!$B$5:$B$18&lt;=AB85)*(TABLE!$C$5:$C$18&gt;=AB85),0)),"対策前")</f>
        <v>M対策3</v>
      </c>
      <c r="AD85" s="41"/>
      <c r="AE85" s="20"/>
      <c r="AF85" s="20"/>
      <c r="AG85" s="19" t="s">
        <v>637</v>
      </c>
      <c r="AH85" s="43"/>
      <c r="AI85" s="29"/>
      <c r="AJ85" s="29"/>
      <c r="AK85" s="29"/>
      <c r="AL85" s="29"/>
      <c r="AM85" s="29"/>
      <c r="AN85" s="20"/>
      <c r="AO85" s="29"/>
      <c r="AP85" s="20"/>
      <c r="AQ85" s="19" t="s">
        <v>648</v>
      </c>
      <c r="AR85" s="200" t="s">
        <v>923</v>
      </c>
      <c r="AS85" s="19" t="s">
        <v>610</v>
      </c>
      <c r="AU85" s="180"/>
      <c r="AV85" s="181"/>
      <c r="AW85" s="182"/>
      <c r="AX85" s="180"/>
      <c r="AY85" s="181"/>
      <c r="AZ85" s="182"/>
      <c r="BA85" s="180"/>
      <c r="BB85" s="181"/>
      <c r="BC85" s="182"/>
    </row>
    <row r="86" spans="1:55" ht="61" customHeight="1" x14ac:dyDescent="0.55000000000000004">
      <c r="A86" s="198"/>
      <c r="B86" s="19"/>
      <c r="C86" s="19">
        <v>82</v>
      </c>
      <c r="D86" s="19" t="s">
        <v>136</v>
      </c>
      <c r="E86" s="19" t="s">
        <v>138</v>
      </c>
      <c r="F86" s="19" t="str">
        <f>IFERROR(VLOOKUP(E86,TABLE!$A$27:$B$48,2,FALSE),"")</f>
        <v>ACCORD</v>
      </c>
      <c r="G86" s="65"/>
      <c r="H86" s="19" t="s">
        <v>191</v>
      </c>
      <c r="I86" s="19"/>
      <c r="J86" s="19" t="s">
        <v>205</v>
      </c>
      <c r="K86" s="20">
        <v>913.6</v>
      </c>
      <c r="L86" s="20">
        <v>1</v>
      </c>
      <c r="M86" s="20"/>
      <c r="N86" s="19" t="s">
        <v>140</v>
      </c>
      <c r="O86" s="195">
        <v>45379</v>
      </c>
      <c r="P86" s="195"/>
      <c r="Q86" s="196" t="s">
        <v>909</v>
      </c>
      <c r="R86" s="20" t="s">
        <v>627</v>
      </c>
      <c r="S86" s="20" t="str">
        <f>IFERROR(VLOOKUP(W86,'TB 各拠点LCM搭載機種一覧 (全拠点）'!$C$12:$K$14,8,FALSE),"")</f>
        <v/>
      </c>
      <c r="T86" s="20" t="str">
        <f>IFERROR(VLOOKUP(W86,'TB 各拠点LCM搭載機種一覧 (全拠点）'!$C$12:$K$14,9,FALSE),"")</f>
        <v/>
      </c>
      <c r="U86" s="20" t="s">
        <v>607</v>
      </c>
      <c r="V86" s="20" t="s">
        <v>605</v>
      </c>
      <c r="W86" s="19"/>
      <c r="X86" s="20"/>
      <c r="Y86" s="20" t="str">
        <f>IFERROR(VLOOKUP(W86,'TB 各拠点LCM搭載機種一覧 (全拠点）'!$C$12:$K$14,2,FALSE),"")</f>
        <v/>
      </c>
      <c r="Z86" s="20" t="str">
        <f>IFERROR(VLOOKUP(W86,'TB 各拠点LCM搭載機種一覧 (全拠点）'!$C$12:$K$14,3,FALSE),"")</f>
        <v/>
      </c>
      <c r="AA86" s="20" t="str">
        <f>IFERROR(VLOOKUP(W86,'TB 各拠点LCM搭載機種一覧 (全拠点）'!$C$12:$K$14,4,FALSE),"")</f>
        <v/>
      </c>
      <c r="AB86" s="193">
        <v>45316</v>
      </c>
      <c r="AC86" s="25" t="str" cm="1">
        <f t="array" ref="AC86">IFERROR(INDEX(TABLE!$D$5:$D$18,MATCH(1,(TABLE!$A$5:$A$18=D86)*(TABLE!$B$5:$B$18&lt;=AB86)*(TABLE!$C$5:$C$18&gt;=AB86),0)),"対策前")</f>
        <v>T対策2</v>
      </c>
      <c r="AD86" s="41"/>
      <c r="AE86" s="20"/>
      <c r="AF86" s="20"/>
      <c r="AG86" s="19" t="s">
        <v>637</v>
      </c>
      <c r="AH86" s="43"/>
      <c r="AI86" s="42"/>
      <c r="AJ86" s="42"/>
      <c r="AK86" s="29"/>
      <c r="AL86" s="42"/>
      <c r="AM86" s="29"/>
      <c r="AN86" s="20"/>
      <c r="AO86" s="29"/>
      <c r="AP86" s="20"/>
      <c r="AQ86" s="19" t="s">
        <v>648</v>
      </c>
      <c r="AR86" s="200" t="s">
        <v>923</v>
      </c>
      <c r="AS86" s="19" t="s">
        <v>610</v>
      </c>
      <c r="AU86" s="180"/>
      <c r="AV86" s="181"/>
      <c r="AW86" s="182"/>
      <c r="AX86" s="180"/>
      <c r="AY86" s="181"/>
      <c r="AZ86" s="182"/>
      <c r="BA86" s="180"/>
      <c r="BB86" s="181"/>
      <c r="BC86" s="182"/>
    </row>
    <row r="87" spans="1:55" ht="61" customHeight="1" x14ac:dyDescent="0.55000000000000004">
      <c r="A87" s="198"/>
      <c r="B87" s="19"/>
      <c r="C87" s="19">
        <v>83</v>
      </c>
      <c r="D87" s="19" t="s">
        <v>136</v>
      </c>
      <c r="E87" s="19" t="s">
        <v>138</v>
      </c>
      <c r="F87" s="19" t="str">
        <f>IFERROR(VLOOKUP(E87,TABLE!$A$27:$B$48,2,FALSE),"")</f>
        <v>ACCORD</v>
      </c>
      <c r="G87" s="65"/>
      <c r="H87" s="19"/>
      <c r="I87" s="19"/>
      <c r="J87" s="19" t="s">
        <v>205</v>
      </c>
      <c r="K87" s="20">
        <v>504</v>
      </c>
      <c r="L87" s="20">
        <v>1</v>
      </c>
      <c r="M87" s="20"/>
      <c r="N87" s="19" t="s">
        <v>140</v>
      </c>
      <c r="O87" s="194">
        <v>45401</v>
      </c>
      <c r="P87" s="194"/>
      <c r="Q87" s="66" t="s">
        <v>908</v>
      </c>
      <c r="R87" s="20" t="s">
        <v>628</v>
      </c>
      <c r="S87" s="20" t="str">
        <f>IFERROR(VLOOKUP(W87,'TB 各拠点LCM搭載機種一覧 (全拠点）'!$C$12:$K$14,8,FALSE),"")</f>
        <v/>
      </c>
      <c r="T87" s="20" t="str">
        <f>IFERROR(VLOOKUP(W87,'TB 各拠点LCM搭載機種一覧 (全拠点）'!$C$12:$K$14,9,FALSE),"")</f>
        <v/>
      </c>
      <c r="U87" s="20" t="s">
        <v>608</v>
      </c>
      <c r="V87" s="20" t="s">
        <v>605</v>
      </c>
      <c r="W87" s="19"/>
      <c r="X87" s="20"/>
      <c r="Y87" s="20" t="str">
        <f>IFERROR(VLOOKUP(W87,'TB 各拠点LCM搭載機種一覧 (全拠点）'!$C$12:$K$14,2,FALSE),"")</f>
        <v/>
      </c>
      <c r="Z87" s="20" t="str">
        <f>IFERROR(VLOOKUP(W87,'TB 各拠点LCM搭載機種一覧 (全拠点）'!$C$12:$K$14,3,FALSE),"")</f>
        <v/>
      </c>
      <c r="AA87" s="20" t="str">
        <f>IFERROR(VLOOKUP(W87,'TB 各拠点LCM搭載機種一覧 (全拠点）'!$C$12:$K$14,4,FALSE),"")</f>
        <v/>
      </c>
      <c r="AB87" s="192">
        <v>45315</v>
      </c>
      <c r="AC87" s="25" t="str" cm="1">
        <f t="array" ref="AC87">IFERROR(INDEX(TABLE!$D$5:$D$18,MATCH(1,(TABLE!$A$5:$A$18=D87)*(TABLE!$B$5:$B$18&lt;=AB87)*(TABLE!$C$5:$C$18&gt;=AB87),0)),"対策前")</f>
        <v>T対策2</v>
      </c>
      <c r="AD87" s="20"/>
      <c r="AE87" s="20"/>
      <c r="AF87" s="20"/>
      <c r="AG87" s="19" t="s">
        <v>637</v>
      </c>
      <c r="AH87" s="19"/>
      <c r="AI87" s="20"/>
      <c r="AJ87" s="20"/>
      <c r="AK87" s="29"/>
      <c r="AL87" s="20"/>
      <c r="AM87" s="29"/>
      <c r="AN87" s="42"/>
      <c r="AO87" s="29"/>
      <c r="AP87" s="20"/>
      <c r="AQ87" s="19" t="s">
        <v>648</v>
      </c>
      <c r="AR87" s="199" t="s">
        <v>877</v>
      </c>
      <c r="AS87" s="19" t="s">
        <v>610</v>
      </c>
      <c r="AU87" s="180"/>
      <c r="AV87" s="181"/>
      <c r="AW87" s="182"/>
      <c r="AX87" s="180"/>
      <c r="AY87" s="181"/>
      <c r="AZ87" s="182"/>
      <c r="BA87" s="180"/>
      <c r="BB87" s="181"/>
      <c r="BC87" s="182"/>
    </row>
    <row r="88" spans="1:55" ht="61" customHeight="1" x14ac:dyDescent="0.55000000000000004">
      <c r="A88" s="198"/>
      <c r="B88" s="19"/>
      <c r="C88" s="19">
        <v>84</v>
      </c>
      <c r="D88" s="19" t="s">
        <v>136</v>
      </c>
      <c r="E88" s="19" t="s">
        <v>138</v>
      </c>
      <c r="F88" s="19" t="str">
        <f>IFERROR(VLOOKUP(E88,TABLE!$A$27:$B$48,2,FALSE),"")</f>
        <v>ACCORD</v>
      </c>
      <c r="G88" s="65"/>
      <c r="H88" s="19" t="s">
        <v>191</v>
      </c>
      <c r="I88" s="19"/>
      <c r="J88" s="19" t="s">
        <v>205</v>
      </c>
      <c r="K88" s="20">
        <v>230.4</v>
      </c>
      <c r="L88" s="20">
        <v>1</v>
      </c>
      <c r="M88" s="20"/>
      <c r="N88" s="19" t="s">
        <v>140</v>
      </c>
      <c r="O88" s="195">
        <v>45436</v>
      </c>
      <c r="P88" s="195"/>
      <c r="Q88" s="196" t="s">
        <v>907</v>
      </c>
      <c r="R88" s="20" t="s">
        <v>629</v>
      </c>
      <c r="S88" s="20" t="str">
        <f>IFERROR(VLOOKUP(W88,'TB 各拠点LCM搭載機種一覧 (全拠点）'!$C$12:$K$14,8,FALSE),"")</f>
        <v/>
      </c>
      <c r="T88" s="20" t="str">
        <f>IFERROR(VLOOKUP(W88,'TB 各拠点LCM搭載機種一覧 (全拠点）'!$C$12:$K$14,9,FALSE),"")</f>
        <v/>
      </c>
      <c r="U88" s="20" t="s">
        <v>607</v>
      </c>
      <c r="V88" s="20" t="s">
        <v>605</v>
      </c>
      <c r="W88" s="19"/>
      <c r="X88" s="20"/>
      <c r="Y88" s="20" t="str">
        <f>IFERROR(VLOOKUP(W88,'TB 各拠点LCM搭載機種一覧 (全拠点）'!$C$12:$K$14,2,FALSE),"")</f>
        <v/>
      </c>
      <c r="Z88" s="20" t="str">
        <f>IFERROR(VLOOKUP(W88,'TB 各拠点LCM搭載機種一覧 (全拠点）'!$C$12:$K$14,3,FALSE),"")</f>
        <v/>
      </c>
      <c r="AA88" s="20" t="str">
        <f>IFERROR(VLOOKUP(W88,'TB 各拠点LCM搭載機種一覧 (全拠点）'!$C$12:$K$14,4,FALSE),"")</f>
        <v/>
      </c>
      <c r="AB88" s="193">
        <v>45260</v>
      </c>
      <c r="AC88" s="25" t="str" cm="1">
        <f t="array" ref="AC88">IFERROR(INDEX(TABLE!$D$5:$D$18,MATCH(1,(TABLE!$A$5:$A$18=D88)*(TABLE!$B$5:$B$18&lt;=AB88)*(TABLE!$C$5:$C$18&gt;=AB88),0)),"対策前")</f>
        <v>T対策2</v>
      </c>
      <c r="AD88" s="41"/>
      <c r="AE88" s="20"/>
      <c r="AF88" s="20"/>
      <c r="AG88" s="19" t="s">
        <v>637</v>
      </c>
      <c r="AH88" s="43"/>
      <c r="AI88" s="42"/>
      <c r="AJ88" s="42"/>
      <c r="AK88" s="42"/>
      <c r="AL88" s="42"/>
      <c r="AM88" s="29"/>
      <c r="AN88" s="42"/>
      <c r="AO88" s="29"/>
      <c r="AP88" s="20"/>
      <c r="AQ88" s="19" t="s">
        <v>648</v>
      </c>
      <c r="AR88" s="200" t="s">
        <v>877</v>
      </c>
      <c r="AS88" s="19" t="s">
        <v>610</v>
      </c>
      <c r="AU88" s="180"/>
      <c r="AV88" s="181"/>
      <c r="AW88" s="182"/>
      <c r="AX88" s="180"/>
      <c r="AY88" s="181"/>
      <c r="AZ88" s="182"/>
      <c r="BA88" s="180"/>
      <c r="BB88" s="181"/>
      <c r="BC88" s="182"/>
    </row>
    <row r="89" spans="1:55" ht="61" customHeight="1" x14ac:dyDescent="0.55000000000000004">
      <c r="A89" s="198"/>
      <c r="B89" s="19"/>
      <c r="C89" s="19">
        <v>85</v>
      </c>
      <c r="D89" s="19" t="s">
        <v>136</v>
      </c>
      <c r="E89" s="19" t="s">
        <v>138</v>
      </c>
      <c r="F89" s="19" t="str">
        <f>IFERROR(VLOOKUP(E89,TABLE!$A$27:$B$48,2,FALSE),"")</f>
        <v>ACCORD</v>
      </c>
      <c r="G89" s="65"/>
      <c r="H89" s="19" t="s">
        <v>191</v>
      </c>
      <c r="I89" s="19"/>
      <c r="J89" s="19" t="s">
        <v>205</v>
      </c>
      <c r="K89" s="20">
        <v>4.8000000000000007</v>
      </c>
      <c r="L89" s="20">
        <v>1</v>
      </c>
      <c r="M89" s="20"/>
      <c r="N89" s="19" t="s">
        <v>140</v>
      </c>
      <c r="O89" s="194">
        <v>45439</v>
      </c>
      <c r="P89" s="194"/>
      <c r="Q89" s="196" t="s">
        <v>906</v>
      </c>
      <c r="R89" s="20" t="s">
        <v>630</v>
      </c>
      <c r="S89" s="20" t="str">
        <f>IFERROR(VLOOKUP(W89,'TB 各拠点LCM搭載機種一覧 (全拠点）'!$C$12:$K$14,8,FALSE),"")</f>
        <v/>
      </c>
      <c r="T89" s="20" t="str">
        <f>IFERROR(VLOOKUP(W89,'TB 各拠点LCM搭載機種一覧 (全拠点）'!$C$12:$K$14,9,FALSE),"")</f>
        <v/>
      </c>
      <c r="U89" s="20" t="s">
        <v>607</v>
      </c>
      <c r="V89" s="20" t="s">
        <v>605</v>
      </c>
      <c r="W89" s="19"/>
      <c r="X89" s="20"/>
      <c r="Y89" s="20" t="str">
        <f>IFERROR(VLOOKUP(W89,'TB 各拠点LCM搭載機種一覧 (全拠点）'!$C$12:$K$14,2,FALSE),"")</f>
        <v/>
      </c>
      <c r="Z89" s="20" t="str">
        <f>IFERROR(VLOOKUP(W89,'TB 各拠点LCM搭載機種一覧 (全拠点）'!$C$12:$K$14,3,FALSE),"")</f>
        <v/>
      </c>
      <c r="AA89" s="20" t="str">
        <f>IFERROR(VLOOKUP(W89,'TB 各拠点LCM搭載機種一覧 (全拠点）'!$C$12:$K$14,4,FALSE),"")</f>
        <v/>
      </c>
      <c r="AB89" s="192">
        <v>45394</v>
      </c>
      <c r="AC89" s="25" t="str" cm="1">
        <f t="array" ref="AC89">IFERROR(INDEX(TABLE!$D$5:$D$18,MATCH(1,(TABLE!$A$5:$A$18=D89)*(TABLE!$B$5:$B$18&lt;=AB89)*(TABLE!$C$5:$C$18&gt;=AB89),0)),"対策前")</f>
        <v>T対策3</v>
      </c>
      <c r="AD89" s="41"/>
      <c r="AE89" s="20"/>
      <c r="AF89" s="20"/>
      <c r="AG89" s="19" t="s">
        <v>637</v>
      </c>
      <c r="AH89" s="43"/>
      <c r="AI89" s="42"/>
      <c r="AJ89" s="42"/>
      <c r="AK89" s="42"/>
      <c r="AL89" s="42"/>
      <c r="AM89" s="29"/>
      <c r="AN89" s="42"/>
      <c r="AO89" s="29"/>
      <c r="AP89" s="20"/>
      <c r="AQ89" s="19" t="s">
        <v>648</v>
      </c>
      <c r="AR89" s="200" t="s">
        <v>877</v>
      </c>
      <c r="AS89" s="19" t="s">
        <v>610</v>
      </c>
      <c r="AU89" s="180"/>
      <c r="AV89" s="181"/>
      <c r="AW89" s="182"/>
      <c r="AX89" s="180"/>
      <c r="AY89" s="181"/>
      <c r="AZ89" s="182"/>
      <c r="BA89" s="180"/>
      <c r="BB89" s="181"/>
      <c r="BC89" s="182"/>
    </row>
    <row r="90" spans="1:55" ht="61" customHeight="1" x14ac:dyDescent="0.55000000000000004">
      <c r="A90" s="198"/>
      <c r="B90" s="19"/>
      <c r="C90" s="19">
        <v>86</v>
      </c>
      <c r="D90" s="19" t="s">
        <v>136</v>
      </c>
      <c r="E90" s="19" t="s">
        <v>138</v>
      </c>
      <c r="F90" s="19" t="str">
        <f>IFERROR(VLOOKUP(E90,TABLE!$A$27:$B$48,2,FALSE),"")</f>
        <v>ACCORD</v>
      </c>
      <c r="G90" s="65"/>
      <c r="H90" s="19" t="s">
        <v>191</v>
      </c>
      <c r="I90" s="19"/>
      <c r="J90" s="19" t="s">
        <v>205</v>
      </c>
      <c r="K90" s="20">
        <v>1.6</v>
      </c>
      <c r="L90" s="20">
        <v>1</v>
      </c>
      <c r="M90" s="20"/>
      <c r="N90" s="19" t="s">
        <v>140</v>
      </c>
      <c r="O90" s="195">
        <v>45446</v>
      </c>
      <c r="P90" s="195"/>
      <c r="Q90" s="66" t="s">
        <v>614</v>
      </c>
      <c r="R90" s="20" t="s">
        <v>631</v>
      </c>
      <c r="S90" s="20" t="str">
        <f>IFERROR(VLOOKUP(W90,'TB 各拠点LCM搭載機種一覧 (全拠点）'!$C$12:$K$14,8,FALSE),"")</f>
        <v/>
      </c>
      <c r="T90" s="20" t="str">
        <f>IFERROR(VLOOKUP(W90,'TB 各拠点LCM搭載機種一覧 (全拠点）'!$C$12:$K$14,9,FALSE),"")</f>
        <v/>
      </c>
      <c r="U90" s="20" t="s">
        <v>607</v>
      </c>
      <c r="V90" s="20" t="s">
        <v>605</v>
      </c>
      <c r="W90" s="19"/>
      <c r="X90" s="20"/>
      <c r="Y90" s="20" t="str">
        <f>IFERROR(VLOOKUP(W90,'TB 各拠点LCM搭載機種一覧 (全拠点）'!$C$12:$K$14,2,FALSE),"")</f>
        <v/>
      </c>
      <c r="Z90" s="20" t="str">
        <f>IFERROR(VLOOKUP(W90,'TB 各拠点LCM搭載機種一覧 (全拠点）'!$C$12:$K$14,3,FALSE),"")</f>
        <v/>
      </c>
      <c r="AA90" s="20" t="str">
        <f>IFERROR(VLOOKUP(W90,'TB 各拠点LCM搭載機種一覧 (全拠点）'!$C$12:$K$14,4,FALSE),"")</f>
        <v/>
      </c>
      <c r="AB90" s="193">
        <v>45367</v>
      </c>
      <c r="AC90" s="25" t="str" cm="1">
        <f t="array" ref="AC90">IFERROR(INDEX(TABLE!$D$5:$D$18,MATCH(1,(TABLE!$A$5:$A$18=D90)*(TABLE!$B$5:$B$18&lt;=AB90)*(TABLE!$C$5:$C$18&gt;=AB90),0)),"対策前")</f>
        <v>T対策3</v>
      </c>
      <c r="AD90" s="41"/>
      <c r="AE90" s="20"/>
      <c r="AF90" s="20"/>
      <c r="AG90" s="19" t="s">
        <v>637</v>
      </c>
      <c r="AH90" s="20"/>
      <c r="AI90" s="20"/>
      <c r="AJ90" s="20"/>
      <c r="AK90" s="20"/>
      <c r="AL90" s="20"/>
      <c r="AM90" s="20"/>
      <c r="AN90" s="20"/>
      <c r="AO90" s="29"/>
      <c r="AP90" s="20"/>
      <c r="AQ90" s="19" t="s">
        <v>648</v>
      </c>
      <c r="AR90" s="199" t="s">
        <v>924</v>
      </c>
      <c r="AS90" s="19" t="s">
        <v>610</v>
      </c>
      <c r="AU90" s="180"/>
      <c r="AV90" s="181"/>
      <c r="AW90" s="182"/>
      <c r="AX90" s="180"/>
      <c r="AY90" s="181"/>
      <c r="AZ90" s="182"/>
      <c r="BA90" s="180"/>
      <c r="BB90" s="181"/>
      <c r="BC90" s="182"/>
    </row>
    <row r="91" spans="1:55" ht="61" customHeight="1" x14ac:dyDescent="0.55000000000000004">
      <c r="A91" s="198"/>
      <c r="B91" s="19"/>
      <c r="C91" s="19">
        <v>87</v>
      </c>
      <c r="D91" s="19" t="s">
        <v>136</v>
      </c>
      <c r="E91" s="19" t="s">
        <v>138</v>
      </c>
      <c r="F91" s="19" t="str">
        <f>IFERROR(VLOOKUP(E91,TABLE!$A$27:$B$48,2,FALSE),"")</f>
        <v>ACCORD</v>
      </c>
      <c r="G91" s="65"/>
      <c r="H91" s="19"/>
      <c r="I91" s="19"/>
      <c r="J91" s="19" t="s">
        <v>205</v>
      </c>
      <c r="K91" s="20">
        <v>3060.8</v>
      </c>
      <c r="L91" s="20">
        <v>1</v>
      </c>
      <c r="M91" s="20"/>
      <c r="N91" s="19" t="s">
        <v>140</v>
      </c>
      <c r="O91" s="194">
        <v>45467</v>
      </c>
      <c r="P91" s="194"/>
      <c r="Q91" s="196" t="s">
        <v>905</v>
      </c>
      <c r="R91" s="20" t="s">
        <v>632</v>
      </c>
      <c r="S91" s="20" t="str">
        <f>IFERROR(VLOOKUP(W91,'TB 各拠点LCM搭載機種一覧 (全拠点）'!$C$12:$K$14,8,FALSE),"")</f>
        <v/>
      </c>
      <c r="T91" s="20" t="str">
        <f>IFERROR(VLOOKUP(W91,'TB 各拠点LCM搭載機種一覧 (全拠点）'!$C$12:$K$14,9,FALSE),"")</f>
        <v/>
      </c>
      <c r="U91" s="20" t="s">
        <v>608</v>
      </c>
      <c r="V91" s="20" t="s">
        <v>605</v>
      </c>
      <c r="W91" s="19"/>
      <c r="X91" s="20"/>
      <c r="Y91" s="20" t="str">
        <f>IFERROR(VLOOKUP(W91,'TB 各拠点LCM搭載機種一覧 (全拠点）'!$C$12:$K$14,2,FALSE),"")</f>
        <v/>
      </c>
      <c r="Z91" s="20" t="str">
        <f>IFERROR(VLOOKUP(W91,'TB 各拠点LCM搭載機種一覧 (全拠点）'!$C$12:$K$14,3,FALSE),"")</f>
        <v/>
      </c>
      <c r="AA91" s="20" t="str">
        <f>IFERROR(VLOOKUP(W91,'TB 各拠点LCM搭載機種一覧 (全拠点）'!$C$12:$K$14,4,FALSE),"")</f>
        <v/>
      </c>
      <c r="AB91" s="192">
        <v>45252</v>
      </c>
      <c r="AC91" s="25" t="str" cm="1">
        <f t="array" ref="AC91">IFERROR(INDEX(TABLE!$D$5:$D$18,MATCH(1,(TABLE!$A$5:$A$18=D91)*(TABLE!$B$5:$B$18&lt;=AB91)*(TABLE!$C$5:$C$18&gt;=AB91),0)),"対策前")</f>
        <v>T対策2</v>
      </c>
      <c r="AD91" s="20"/>
      <c r="AE91" s="20"/>
      <c r="AF91" s="20"/>
      <c r="AG91" s="19" t="s">
        <v>637</v>
      </c>
      <c r="AH91" s="19"/>
      <c r="AI91" s="20"/>
      <c r="AJ91" s="19"/>
      <c r="AK91" s="19"/>
      <c r="AL91" s="19"/>
      <c r="AM91" s="19"/>
      <c r="AN91" s="20"/>
      <c r="AO91" s="19"/>
      <c r="AP91" s="20"/>
      <c r="AQ91" s="19" t="s">
        <v>648</v>
      </c>
      <c r="AR91" s="200" t="s">
        <v>877</v>
      </c>
      <c r="AS91" s="19" t="s">
        <v>610</v>
      </c>
      <c r="AU91" s="180"/>
      <c r="AV91" s="181"/>
      <c r="AW91" s="182"/>
      <c r="AX91" s="180"/>
      <c r="AY91" s="181"/>
      <c r="AZ91" s="182"/>
      <c r="BA91" s="180"/>
      <c r="BB91" s="181"/>
      <c r="BC91" s="182"/>
    </row>
    <row r="92" spans="1:55" ht="61" customHeight="1" x14ac:dyDescent="0.55000000000000004">
      <c r="A92" s="198"/>
      <c r="B92" s="19"/>
      <c r="C92" s="19">
        <v>88</v>
      </c>
      <c r="D92" s="19" t="s">
        <v>136</v>
      </c>
      <c r="E92" s="19" t="s">
        <v>138</v>
      </c>
      <c r="F92" s="19" t="str">
        <f>IFERROR(VLOOKUP(E92,TABLE!$A$27:$B$48,2,FALSE),"")</f>
        <v>ACCORD</v>
      </c>
      <c r="G92" s="65"/>
      <c r="H92" s="19"/>
      <c r="I92" s="19"/>
      <c r="J92" s="19" t="s">
        <v>205</v>
      </c>
      <c r="K92" s="20">
        <v>1732.8000000000002</v>
      </c>
      <c r="L92" s="20">
        <v>1</v>
      </c>
      <c r="M92" s="20"/>
      <c r="N92" s="19" t="s">
        <v>140</v>
      </c>
      <c r="O92" s="195">
        <v>45447</v>
      </c>
      <c r="P92" s="195"/>
      <c r="Q92" s="196" t="s">
        <v>904</v>
      </c>
      <c r="R92" s="20" t="s">
        <v>633</v>
      </c>
      <c r="S92" s="20" t="str">
        <f>IFERROR(VLOOKUP(W92,'TB 各拠点LCM搭載機種一覧 (全拠点）'!$C$12:$K$14,8,FALSE),"")</f>
        <v/>
      </c>
      <c r="T92" s="20" t="str">
        <f>IFERROR(VLOOKUP(W92,'TB 各拠点LCM搭載機種一覧 (全拠点）'!$C$12:$K$14,9,FALSE),"")</f>
        <v/>
      </c>
      <c r="U92" s="20" t="s">
        <v>608</v>
      </c>
      <c r="V92" s="20" t="s">
        <v>605</v>
      </c>
      <c r="W92" s="19"/>
      <c r="X92" s="20"/>
      <c r="Y92" s="20" t="str">
        <f>IFERROR(VLOOKUP(W92,'TB 各拠点LCM搭載機種一覧 (全拠点）'!$C$12:$K$14,2,FALSE),"")</f>
        <v/>
      </c>
      <c r="Z92" s="20" t="str">
        <f>IFERROR(VLOOKUP(W92,'TB 各拠点LCM搭載機種一覧 (全拠点）'!$C$12:$K$14,3,FALSE),"")</f>
        <v/>
      </c>
      <c r="AA92" s="20" t="str">
        <f>IFERROR(VLOOKUP(W92,'TB 各拠点LCM搭載機種一覧 (全拠点）'!$C$12:$K$14,4,FALSE),"")</f>
        <v/>
      </c>
      <c r="AB92" s="193">
        <v>45295</v>
      </c>
      <c r="AC92" s="25" t="str" cm="1">
        <f t="array" ref="AC92">IFERROR(INDEX(TABLE!$D$5:$D$18,MATCH(1,(TABLE!$A$5:$A$18=D92)*(TABLE!$B$5:$B$18&lt;=AB92)*(TABLE!$C$5:$C$18&gt;=AB92),0)),"対策前")</f>
        <v>T対策2</v>
      </c>
      <c r="AD92" s="20"/>
      <c r="AE92" s="20"/>
      <c r="AF92" s="20"/>
      <c r="AG92" s="19" t="s">
        <v>637</v>
      </c>
      <c r="AH92" s="19"/>
      <c r="AI92" s="20"/>
      <c r="AJ92" s="19"/>
      <c r="AK92" s="19"/>
      <c r="AL92" s="19"/>
      <c r="AM92" s="19"/>
      <c r="AN92" s="20"/>
      <c r="AO92" s="19"/>
      <c r="AP92" s="20"/>
      <c r="AQ92" s="19" t="s">
        <v>648</v>
      </c>
      <c r="AR92" s="200" t="s">
        <v>877</v>
      </c>
      <c r="AS92" s="19" t="s">
        <v>610</v>
      </c>
      <c r="AU92" s="180"/>
      <c r="AV92" s="181"/>
      <c r="AW92" s="182"/>
      <c r="AX92" s="180"/>
      <c r="AY92" s="181"/>
      <c r="AZ92" s="182"/>
      <c r="BA92" s="180"/>
      <c r="BB92" s="181"/>
      <c r="BC92" s="182"/>
    </row>
    <row r="93" spans="1:55" ht="61" customHeight="1" x14ac:dyDescent="0.55000000000000004">
      <c r="A93" s="198"/>
      <c r="B93" s="19"/>
      <c r="C93" s="19">
        <v>89</v>
      </c>
      <c r="D93" s="19" t="s">
        <v>136</v>
      </c>
      <c r="E93" s="19" t="s">
        <v>138</v>
      </c>
      <c r="F93" s="19" t="str">
        <f>IFERROR(VLOOKUP(E93,TABLE!$A$27:$B$48,2,FALSE),"")</f>
        <v>ACCORD</v>
      </c>
      <c r="G93" s="65"/>
      <c r="H93" s="19"/>
      <c r="I93" s="19"/>
      <c r="J93" s="19" t="s">
        <v>205</v>
      </c>
      <c r="K93" s="67">
        <v>2536</v>
      </c>
      <c r="L93" s="20">
        <v>1</v>
      </c>
      <c r="M93" s="67"/>
      <c r="N93" s="19" t="s">
        <v>140</v>
      </c>
      <c r="O93" s="194">
        <v>45460</v>
      </c>
      <c r="P93" s="194"/>
      <c r="Q93" s="66" t="s">
        <v>615</v>
      </c>
      <c r="R93" s="20" t="s">
        <v>634</v>
      </c>
      <c r="S93" s="20" t="str">
        <f>IFERROR(VLOOKUP(W93,'TB 各拠点LCM搭載機種一覧 (全拠点）'!$C$12:$K$14,8,FALSE),"")</f>
        <v/>
      </c>
      <c r="T93" s="20" t="str">
        <f>IFERROR(VLOOKUP(W93,'TB 各拠点LCM搭載機種一覧 (全拠点）'!$C$12:$K$14,9,FALSE),"")</f>
        <v/>
      </c>
      <c r="U93" s="20" t="s">
        <v>608</v>
      </c>
      <c r="V93" s="20" t="s">
        <v>605</v>
      </c>
      <c r="W93" s="19"/>
      <c r="X93" s="20"/>
      <c r="Y93" s="20" t="str">
        <f>IFERROR(VLOOKUP(W93,'TB 各拠点LCM搭載機種一覧 (全拠点）'!$C$12:$K$14,2,FALSE),"")</f>
        <v/>
      </c>
      <c r="Z93" s="20" t="str">
        <f>IFERROR(VLOOKUP(W93,'TB 各拠点LCM搭載機種一覧 (全拠点）'!$C$12:$K$14,3,FALSE),"")</f>
        <v/>
      </c>
      <c r="AA93" s="20" t="str">
        <f>IFERROR(VLOOKUP(W93,'TB 各拠点LCM搭載機種一覧 (全拠点）'!$C$12:$K$14,4,FALSE),"")</f>
        <v/>
      </c>
      <c r="AB93" s="192">
        <v>45388</v>
      </c>
      <c r="AC93" s="25" t="str" cm="1">
        <f t="array" ref="AC93">IFERROR(INDEX(TABLE!$D$5:$D$18,MATCH(1,(TABLE!$A$5:$A$18=D93)*(TABLE!$B$5:$B$18&lt;=AB93)*(TABLE!$C$5:$C$18&gt;=AB93),0)),"対策前")</f>
        <v>T対策3</v>
      </c>
      <c r="AD93" s="20"/>
      <c r="AE93" s="20"/>
      <c r="AF93" s="20"/>
      <c r="AG93" s="19" t="s">
        <v>637</v>
      </c>
      <c r="AH93" s="19"/>
      <c r="AI93" s="20"/>
      <c r="AJ93" s="19"/>
      <c r="AK93" s="19"/>
      <c r="AL93" s="19"/>
      <c r="AM93" s="19"/>
      <c r="AN93" s="20"/>
      <c r="AO93" s="19"/>
      <c r="AP93" s="20"/>
      <c r="AQ93" s="19" t="s">
        <v>648</v>
      </c>
      <c r="AR93" s="199" t="s">
        <v>924</v>
      </c>
      <c r="AS93" s="19" t="s">
        <v>610</v>
      </c>
      <c r="AU93" s="180"/>
      <c r="AV93" s="181"/>
      <c r="AW93" s="182"/>
      <c r="AX93" s="180"/>
      <c r="AY93" s="181"/>
      <c r="AZ93" s="182"/>
      <c r="BA93" s="180"/>
      <c r="BB93" s="181"/>
      <c r="BC93" s="182"/>
    </row>
    <row r="94" spans="1:55" ht="61" customHeight="1" x14ac:dyDescent="0.55000000000000004">
      <c r="A94" s="198"/>
      <c r="B94" s="19"/>
      <c r="C94" s="19">
        <v>90</v>
      </c>
      <c r="D94" s="19" t="s">
        <v>136</v>
      </c>
      <c r="E94" s="19" t="s">
        <v>138</v>
      </c>
      <c r="F94" s="19" t="str">
        <f>IFERROR(VLOOKUP(E94,TABLE!$A$27:$B$48,2,FALSE),"")</f>
        <v>ACCORD</v>
      </c>
      <c r="G94" s="65"/>
      <c r="H94" s="19"/>
      <c r="I94" s="19"/>
      <c r="J94" s="19" t="s">
        <v>205</v>
      </c>
      <c r="K94" s="67">
        <v>9678.4</v>
      </c>
      <c r="L94" s="20">
        <v>1</v>
      </c>
      <c r="M94" s="67"/>
      <c r="N94" s="19" t="s">
        <v>140</v>
      </c>
      <c r="O94" s="195">
        <v>45448</v>
      </c>
      <c r="P94" s="195"/>
      <c r="Q94" s="66" t="s">
        <v>903</v>
      </c>
      <c r="R94" s="20" t="s">
        <v>635</v>
      </c>
      <c r="S94" s="20" t="str">
        <f>IFERROR(VLOOKUP(W94,'TB 各拠点LCM搭載機種一覧 (全拠点）'!$C$12:$K$14,8,FALSE),"")</f>
        <v/>
      </c>
      <c r="T94" s="20" t="str">
        <f>IFERROR(VLOOKUP(W94,'TB 各拠点LCM搭載機種一覧 (全拠点）'!$C$12:$K$14,9,FALSE),"")</f>
        <v/>
      </c>
      <c r="U94" s="20" t="s">
        <v>607</v>
      </c>
      <c r="V94" s="20" t="s">
        <v>605</v>
      </c>
      <c r="W94" s="41"/>
      <c r="X94" s="20"/>
      <c r="Y94" s="20" t="str">
        <f>IFERROR(VLOOKUP(W94,'TB 各拠点LCM搭載機種一覧 (全拠点）'!$C$12:$K$14,2,FALSE),"")</f>
        <v/>
      </c>
      <c r="Z94" s="20" t="str">
        <f>IFERROR(VLOOKUP(W94,'TB 各拠点LCM搭載機種一覧 (全拠点）'!$C$12:$K$14,3,FALSE),"")</f>
        <v/>
      </c>
      <c r="AA94" s="20" t="str">
        <f>IFERROR(VLOOKUP(W94,'TB 各拠点LCM搭載機種一覧 (全拠点）'!$C$12:$K$14,4,FALSE),"")</f>
        <v/>
      </c>
      <c r="AB94" s="193">
        <v>45317</v>
      </c>
      <c r="AC94" s="25" t="str" cm="1">
        <f t="array" ref="AC94">IFERROR(INDEX(TABLE!$D$5:$D$18,MATCH(1,(TABLE!$A$5:$A$18=D94)*(TABLE!$B$5:$B$18&lt;=AB94)*(TABLE!$C$5:$C$18&gt;=AB94),0)),"対策前")</f>
        <v>T対策2</v>
      </c>
      <c r="AD94" s="20"/>
      <c r="AE94" s="20"/>
      <c r="AF94" s="20"/>
      <c r="AG94" s="19" t="s">
        <v>637</v>
      </c>
      <c r="AH94" s="20"/>
      <c r="AI94" s="20"/>
      <c r="AJ94" s="20"/>
      <c r="AK94" s="20"/>
      <c r="AL94" s="20"/>
      <c r="AM94" s="20"/>
      <c r="AN94" s="20"/>
      <c r="AO94" s="29"/>
      <c r="AP94" s="20"/>
      <c r="AQ94" s="19" t="s">
        <v>648</v>
      </c>
      <c r="AR94" s="199" t="s">
        <v>877</v>
      </c>
      <c r="AS94" s="19" t="s">
        <v>610</v>
      </c>
      <c r="AU94" s="180"/>
      <c r="AV94" s="181"/>
      <c r="AW94" s="182"/>
      <c r="AX94" s="180"/>
      <c r="AY94" s="181"/>
      <c r="AZ94" s="182"/>
      <c r="BA94" s="180"/>
      <c r="BB94" s="181"/>
      <c r="BC94" s="182"/>
    </row>
    <row r="95" spans="1:55" ht="61" customHeight="1" x14ac:dyDescent="0.55000000000000004">
      <c r="A95" s="198"/>
      <c r="B95" s="19"/>
      <c r="C95" s="19">
        <v>91</v>
      </c>
      <c r="D95" s="19" t="s">
        <v>136</v>
      </c>
      <c r="E95" s="19" t="s">
        <v>138</v>
      </c>
      <c r="F95" s="19" t="str">
        <f>IFERROR(VLOOKUP(E95,TABLE!$A$27:$B$48,2,FALSE),"")</f>
        <v>ACCORD</v>
      </c>
      <c r="G95" s="65"/>
      <c r="H95" s="19"/>
      <c r="I95" s="19"/>
      <c r="J95" s="19" t="s">
        <v>205</v>
      </c>
      <c r="K95" s="67">
        <v>2046.4</v>
      </c>
      <c r="L95" s="20">
        <v>1</v>
      </c>
      <c r="M95" s="67"/>
      <c r="N95" s="19" t="s">
        <v>140</v>
      </c>
      <c r="O95" s="194">
        <v>45470</v>
      </c>
      <c r="P95" s="194"/>
      <c r="Q95" s="196" t="s">
        <v>902</v>
      </c>
      <c r="R95" s="20" t="s">
        <v>636</v>
      </c>
      <c r="S95" s="20" t="str">
        <f>IFERROR(VLOOKUP(W95,'TB 各拠点LCM搭載機種一覧 (全拠点）'!$C$12:$K$14,8,FALSE),"")</f>
        <v/>
      </c>
      <c r="T95" s="20" t="str">
        <f>IFERROR(VLOOKUP(W95,'TB 各拠点LCM搭載機種一覧 (全拠点）'!$C$12:$K$14,9,FALSE),"")</f>
        <v/>
      </c>
      <c r="U95" s="20" t="s">
        <v>608</v>
      </c>
      <c r="V95" s="20" t="s">
        <v>605</v>
      </c>
      <c r="W95" s="19"/>
      <c r="X95" s="20"/>
      <c r="Y95" s="20" t="str">
        <f>IFERROR(VLOOKUP(W95,'TB 各拠点LCM搭載機種一覧 (全拠点）'!$C$12:$K$14,2,FALSE),"")</f>
        <v/>
      </c>
      <c r="Z95" s="20" t="str">
        <f>IFERROR(VLOOKUP(W95,'TB 各拠点LCM搭載機種一覧 (全拠点）'!$C$12:$K$14,3,FALSE),"")</f>
        <v/>
      </c>
      <c r="AA95" s="20" t="str">
        <f>IFERROR(VLOOKUP(W95,'TB 各拠点LCM搭載機種一覧 (全拠点）'!$C$12:$K$14,4,FALSE),"")</f>
        <v/>
      </c>
      <c r="AB95" s="192">
        <v>45342</v>
      </c>
      <c r="AC95" s="25" t="str" cm="1">
        <f t="array" ref="AC95">IFERROR(INDEX(TABLE!$D$5:$D$18,MATCH(1,(TABLE!$A$5:$A$18=D95)*(TABLE!$B$5:$B$18&lt;=AB95)*(TABLE!$C$5:$C$18&gt;=AB95),0)),"対策前")</f>
        <v>T対策2</v>
      </c>
      <c r="AD95" s="20"/>
      <c r="AE95" s="20"/>
      <c r="AF95" s="20"/>
      <c r="AG95" s="19" t="s">
        <v>637</v>
      </c>
      <c r="AH95" s="19"/>
      <c r="AI95" s="20"/>
      <c r="AJ95" s="19"/>
      <c r="AK95" s="19"/>
      <c r="AL95" s="19"/>
      <c r="AM95" s="19"/>
      <c r="AN95" s="20"/>
      <c r="AO95" s="19"/>
      <c r="AP95" s="20"/>
      <c r="AQ95" s="19" t="s">
        <v>648</v>
      </c>
      <c r="AR95" s="200" t="s">
        <v>877</v>
      </c>
      <c r="AS95" s="19" t="s">
        <v>610</v>
      </c>
      <c r="AU95" s="180"/>
      <c r="AV95" s="181"/>
      <c r="AW95" s="182"/>
      <c r="AX95" s="180"/>
      <c r="AY95" s="181"/>
      <c r="AZ95" s="182"/>
      <c r="BA95" s="180"/>
      <c r="BB95" s="181"/>
      <c r="BC95" s="182"/>
    </row>
    <row r="96" spans="1:55" ht="61" customHeight="1" x14ac:dyDescent="0.55000000000000004">
      <c r="A96" s="198"/>
      <c r="B96" s="19"/>
      <c r="C96" s="176">
        <v>92</v>
      </c>
      <c r="D96" s="19" t="s">
        <v>136</v>
      </c>
      <c r="E96" s="19" t="s">
        <v>174</v>
      </c>
      <c r="F96" s="19" t="str">
        <f>IFERROR(VLOOKUP(E96,TABLE!$A$27:$B$48,2,FALSE),"")</f>
        <v>CR-V</v>
      </c>
      <c r="G96" s="65"/>
      <c r="H96" s="19" t="s">
        <v>191</v>
      </c>
      <c r="I96" s="19"/>
      <c r="J96" s="19" t="s">
        <v>177</v>
      </c>
      <c r="K96" s="67"/>
      <c r="L96" s="20">
        <v>1</v>
      </c>
      <c r="M96" s="67"/>
      <c r="N96" s="19" t="s">
        <v>178</v>
      </c>
      <c r="O96" s="195">
        <v>45504</v>
      </c>
      <c r="P96" s="195">
        <v>45498</v>
      </c>
      <c r="Q96" s="66" t="s">
        <v>643</v>
      </c>
      <c r="R96" s="20" t="s">
        <v>645</v>
      </c>
      <c r="S96" s="20">
        <f>IFERROR(VLOOKUP(W96,'TB 各拠点LCM搭載機種一覧 (全拠点）'!$C$12:$K$14,8,FALSE),"")</f>
        <v>1480820503</v>
      </c>
      <c r="T96" s="20" t="str">
        <f>IFERROR(VLOOKUP(W96,'TB 各拠点LCM搭載機種一覧 (全拠点）'!$C$12:$K$14,9,FALSE),"")</f>
        <v>W6250M/LIGHT CNTRL</v>
      </c>
      <c r="U96" s="20" t="s">
        <v>646</v>
      </c>
      <c r="V96" s="20" t="s">
        <v>605</v>
      </c>
      <c r="W96" s="19" t="s">
        <v>181</v>
      </c>
      <c r="X96" s="20" t="s">
        <v>647</v>
      </c>
      <c r="Y96" s="20" t="str">
        <f>IFERROR(VLOOKUP(W96,'TB 各拠点LCM搭載機種一覧 (全拠点）'!$C$12:$K$14,2,FALSE),"")</f>
        <v>33109-3A0 -A040-62</v>
      </c>
      <c r="Z96" s="20" t="str">
        <f>IFERROR(VLOOKUP(W96,'TB 各拠点LCM搭載機種一覧 (全拠点）'!$C$12:$K$14,3,FALSE),"")</f>
        <v>MEAX</v>
      </c>
      <c r="AA96" s="20" t="str">
        <f>IFERROR(VLOOKUP(W96,'TB 各拠点LCM搭載機種一覧 (全拠点）'!$C$12:$K$14,4,FALSE),"")</f>
        <v>Low</v>
      </c>
      <c r="AB96" s="193">
        <v>45451</v>
      </c>
      <c r="AC96" s="25" t="str" cm="1">
        <f t="array" ref="AC96">IFERROR(INDEX(TABLE!$D$5:$D$18,MATCH(1,(TABLE!$A$5:$A$18=D96)*(TABLE!$B$5:$B$18&lt;=AB96)*(TABLE!$C$5:$C$18&gt;=AB96),0)),"対策前")</f>
        <v>M対策7</v>
      </c>
      <c r="AD96" s="41" t="s">
        <v>868</v>
      </c>
      <c r="AE96" s="20"/>
      <c r="AF96" s="20"/>
      <c r="AG96" s="19" t="s">
        <v>809</v>
      </c>
      <c r="AH96" s="19"/>
      <c r="AI96" s="20" t="s">
        <v>810</v>
      </c>
      <c r="AJ96" s="19"/>
      <c r="AK96" s="19"/>
      <c r="AL96" s="42"/>
      <c r="AM96" s="29"/>
      <c r="AN96" s="20"/>
      <c r="AO96" s="29" t="s">
        <v>869</v>
      </c>
      <c r="AP96" s="20" t="s">
        <v>870</v>
      </c>
      <c r="AQ96" s="19"/>
      <c r="AR96" s="199" t="s">
        <v>924</v>
      </c>
      <c r="AS96" s="19"/>
      <c r="AU96" s="180"/>
      <c r="AV96" s="181"/>
      <c r="AW96" s="182"/>
      <c r="AX96" s="180"/>
      <c r="AY96" s="181"/>
      <c r="AZ96" s="182"/>
      <c r="BA96" s="180"/>
      <c r="BB96" s="181"/>
      <c r="BC96" s="182"/>
    </row>
    <row r="97" spans="1:45" ht="61" customHeight="1" x14ac:dyDescent="0.55000000000000004">
      <c r="A97" s="198"/>
      <c r="B97" s="19"/>
      <c r="C97" s="49">
        <v>93</v>
      </c>
      <c r="D97" s="19" t="s">
        <v>136</v>
      </c>
      <c r="E97" s="19" t="s">
        <v>174</v>
      </c>
      <c r="F97" s="19" t="str">
        <f>IFERROR(VLOOKUP(E97,TABLE!$A$27:$B$48,2,FALSE),"")</f>
        <v>CR-V</v>
      </c>
      <c r="G97" s="65"/>
      <c r="H97" s="19" t="s">
        <v>191</v>
      </c>
      <c r="I97" s="19"/>
      <c r="J97" s="19" t="s">
        <v>177</v>
      </c>
      <c r="K97" s="67"/>
      <c r="L97" s="20">
        <v>1</v>
      </c>
      <c r="M97" s="67"/>
      <c r="N97" s="19" t="s">
        <v>859</v>
      </c>
      <c r="O97" s="194">
        <v>45513</v>
      </c>
      <c r="P97" s="194">
        <v>45509</v>
      </c>
      <c r="Q97" s="19" t="s">
        <v>860</v>
      </c>
      <c r="R97" s="20" t="s">
        <v>861</v>
      </c>
      <c r="S97" s="20">
        <f>IFERROR(VLOOKUP(W97,'TB 各拠点LCM搭載機種一覧 (全拠点）'!$C$12:$K$14,8,FALSE),"")</f>
        <v>1480820503</v>
      </c>
      <c r="T97" s="20" t="str">
        <f>IFERROR(VLOOKUP(W97,'TB 各拠点LCM搭載機種一覧 (全拠点）'!$C$12:$K$14,9,FALSE),"")</f>
        <v>W6250M/LIGHT CNTRL</v>
      </c>
      <c r="U97" s="20"/>
      <c r="V97" s="20" t="s">
        <v>605</v>
      </c>
      <c r="W97" s="19" t="s">
        <v>181</v>
      </c>
      <c r="X97" s="20" t="s">
        <v>862</v>
      </c>
      <c r="Y97" s="20" t="str">
        <f>IFERROR(VLOOKUP(W97,'TB 各拠点LCM搭載機種一覧 (全拠点）'!$C$12:$K$14,2,FALSE),"")</f>
        <v>33109-3A0 -A040-62</v>
      </c>
      <c r="Z97" s="20" t="str">
        <f>IFERROR(VLOOKUP(W97,'TB 各拠点LCM搭載機種一覧 (全拠点）'!$C$12:$K$14,3,FALSE),"")</f>
        <v>MEAX</v>
      </c>
      <c r="AA97" s="20" t="str">
        <f>IFERROR(VLOOKUP(W97,'TB 各拠点LCM搭載機種一覧 (全拠点）'!$C$12:$K$14,4,FALSE),"")</f>
        <v>Low</v>
      </c>
      <c r="AB97" s="192">
        <v>45460</v>
      </c>
      <c r="AC97" s="25" t="str" cm="1">
        <f t="array" ref="AC97">IFERROR(INDEX(TABLE!$D$5:$D$18,MATCH(1,(TABLE!$A$5:$A$18=D97)*(TABLE!$B$5:$B$18&lt;=AB97)*(TABLE!$C$5:$C$18&gt;=AB97),0)),"対策前")</f>
        <v>M対策8</v>
      </c>
      <c r="AD97" s="41" t="s">
        <v>865</v>
      </c>
      <c r="AE97" s="20"/>
      <c r="AF97" s="20" t="s">
        <v>863</v>
      </c>
      <c r="AG97" s="19" t="s">
        <v>864</v>
      </c>
      <c r="AH97" s="19"/>
      <c r="AI97" s="19"/>
      <c r="AJ97" s="19"/>
      <c r="AK97" s="19"/>
      <c r="AL97" s="42"/>
      <c r="AM97" s="29"/>
      <c r="AN97" s="42"/>
      <c r="AO97" s="29" t="s">
        <v>866</v>
      </c>
      <c r="AP97" s="20" t="s">
        <v>867</v>
      </c>
      <c r="AQ97" s="19"/>
      <c r="AR97" s="199" t="s">
        <v>924</v>
      </c>
      <c r="AS97" s="19"/>
    </row>
    <row r="98" spans="1:45" ht="61" customHeight="1" x14ac:dyDescent="0.55000000000000004">
      <c r="A98" s="198"/>
      <c r="B98" s="19"/>
      <c r="C98" s="49">
        <v>94</v>
      </c>
      <c r="D98" s="19" t="s">
        <v>873</v>
      </c>
      <c r="E98" s="19" t="s">
        <v>174</v>
      </c>
      <c r="F98" s="19" t="str">
        <f>IFERROR(VLOOKUP(E98,TABLE!$A$27:$B$48,2,FALSE),"")</f>
        <v>CR-V</v>
      </c>
      <c r="G98" s="65"/>
      <c r="H98" s="19" t="s">
        <v>191</v>
      </c>
      <c r="I98" s="19"/>
      <c r="J98" s="19" t="s">
        <v>177</v>
      </c>
      <c r="K98" s="67"/>
      <c r="L98" s="20">
        <v>1</v>
      </c>
      <c r="M98" s="67"/>
      <c r="N98" s="19" t="s">
        <v>874</v>
      </c>
      <c r="O98" s="195">
        <v>45552</v>
      </c>
      <c r="P98" s="195">
        <v>45544</v>
      </c>
      <c r="Q98" s="19" t="s">
        <v>877</v>
      </c>
      <c r="R98" s="20" t="s">
        <v>875</v>
      </c>
      <c r="S98" s="20">
        <f>IFERROR(VLOOKUP(W98,'TB 各拠点LCM搭載機種一覧 (全拠点）'!$C$12:$K$14,8,FALSE),"")</f>
        <v>1480820503</v>
      </c>
      <c r="T98" s="20" t="str">
        <f>IFERROR(VLOOKUP(W98,'TB 各拠点LCM搭載機種一覧 (全拠点）'!$C$12:$K$14,9,FALSE),"")</f>
        <v>W6250M/LIGHT CNTRL</v>
      </c>
      <c r="U98" s="20"/>
      <c r="V98" s="20" t="s">
        <v>605</v>
      </c>
      <c r="W98" s="19" t="s">
        <v>181</v>
      </c>
      <c r="X98" s="20" t="s">
        <v>876</v>
      </c>
      <c r="Y98" s="20" t="str">
        <f>IFERROR(VLOOKUP(W98,'TB 各拠点LCM搭載機種一覧 (全拠点）'!$C$12:$K$14,2,FALSE),"")</f>
        <v>33109-3A0 -A040-62</v>
      </c>
      <c r="Z98" s="20" t="str">
        <f>IFERROR(VLOOKUP(W98,'TB 各拠点LCM搭載機種一覧 (全拠点）'!$C$12:$K$14,3,FALSE),"")</f>
        <v>MEAX</v>
      </c>
      <c r="AA98" s="20" t="str">
        <f>IFERROR(VLOOKUP(W98,'TB 各拠点LCM搭載機種一覧 (全拠点）'!$C$12:$K$14,4,FALSE),"")</f>
        <v>Low</v>
      </c>
      <c r="AB98" s="193">
        <v>45518</v>
      </c>
      <c r="AC98" s="25" t="str" cm="1">
        <f t="array" ref="AC98">IFERROR(INDEX(TABLE!$D$5:$D$18,MATCH(1,(TABLE!$A$5:$A$18=D98)*(TABLE!$B$5:$B$18&lt;=AB98)*(TABLE!$C$5:$C$18&gt;=AB98),0)),"対策前")</f>
        <v>M対策8</v>
      </c>
      <c r="AD98" s="41" t="s">
        <v>882</v>
      </c>
      <c r="AE98" s="20"/>
      <c r="AF98" s="20"/>
      <c r="AG98" s="19" t="s">
        <v>809</v>
      </c>
      <c r="AH98" s="19"/>
      <c r="AI98" s="42" t="s">
        <v>880</v>
      </c>
      <c r="AJ98" s="19"/>
      <c r="AK98" s="19"/>
      <c r="AL98" s="19"/>
      <c r="AM98" s="29"/>
      <c r="AN98" s="42"/>
      <c r="AO98" s="29" t="s">
        <v>883</v>
      </c>
      <c r="AP98" s="20" t="s">
        <v>884</v>
      </c>
      <c r="AQ98" s="19"/>
      <c r="AR98" s="199" t="s">
        <v>877</v>
      </c>
      <c r="AS98" s="19"/>
    </row>
    <row r="99" spans="1:45" ht="61" customHeight="1" x14ac:dyDescent="0.55000000000000004">
      <c r="A99" s="198"/>
      <c r="B99" s="19"/>
      <c r="C99" s="49">
        <v>95</v>
      </c>
      <c r="D99" s="19" t="s">
        <v>136</v>
      </c>
      <c r="E99" s="19" t="s">
        <v>174</v>
      </c>
      <c r="F99" s="19" t="str">
        <f>IFERROR(VLOOKUP(E99,TABLE!$A$27:$B$48,2,FALSE),"")</f>
        <v>CR-V</v>
      </c>
      <c r="G99" s="65"/>
      <c r="H99" s="19" t="s">
        <v>191</v>
      </c>
      <c r="I99" s="19"/>
      <c r="J99" s="19" t="s">
        <v>177</v>
      </c>
      <c r="K99" s="67"/>
      <c r="L99" s="20">
        <v>1</v>
      </c>
      <c r="M99" s="67"/>
      <c r="N99" s="19" t="s">
        <v>874</v>
      </c>
      <c r="O99" s="194">
        <v>45552</v>
      </c>
      <c r="P99" s="194">
        <v>45547</v>
      </c>
      <c r="Q99" s="19" t="s">
        <v>877</v>
      </c>
      <c r="R99" s="20" t="s">
        <v>875</v>
      </c>
      <c r="S99" s="20">
        <f>IFERROR(VLOOKUP(W99,'TB 各拠点LCM搭載機種一覧 (全拠点）'!$C$12:$K$14,8,FALSE),"")</f>
        <v>1480820503</v>
      </c>
      <c r="T99" s="20" t="str">
        <f>IFERROR(VLOOKUP(W99,'TB 各拠点LCM搭載機種一覧 (全拠点）'!$C$12:$K$14,9,FALSE),"")</f>
        <v>W6250M/LIGHT CNTRL</v>
      </c>
      <c r="U99" s="20"/>
      <c r="V99" s="20" t="s">
        <v>605</v>
      </c>
      <c r="W99" s="19" t="s">
        <v>181</v>
      </c>
      <c r="X99" s="20" t="s">
        <v>878</v>
      </c>
      <c r="Y99" s="20" t="str">
        <f>IFERROR(VLOOKUP(W99,'TB 各拠点LCM搭載機種一覧 (全拠点）'!$C$12:$K$14,2,FALSE),"")</f>
        <v>33109-3A0 -A040-62</v>
      </c>
      <c r="Z99" s="20" t="str">
        <f>IFERROR(VLOOKUP(W99,'TB 各拠点LCM搭載機種一覧 (全拠点）'!$C$12:$K$14,3,FALSE),"")</f>
        <v>MEAX</v>
      </c>
      <c r="AA99" s="20" t="str">
        <f>IFERROR(VLOOKUP(W99,'TB 各拠点LCM搭載機種一覧 (全拠点）'!$C$12:$K$14,4,FALSE),"")</f>
        <v>Low</v>
      </c>
      <c r="AB99" s="192">
        <v>45518</v>
      </c>
      <c r="AC99" s="25" t="str" cm="1">
        <f t="array" ref="AC99">IFERROR(INDEX(TABLE!$D$5:$D$18,MATCH(1,(TABLE!$A$5:$A$18=D99)*(TABLE!$B$5:$B$18&lt;=AB99)*(TABLE!$C$5:$C$18&gt;=AB99),0)),"対策前")</f>
        <v>M対策8</v>
      </c>
      <c r="AD99" s="41" t="s">
        <v>885</v>
      </c>
      <c r="AE99" s="20"/>
      <c r="AF99" s="20"/>
      <c r="AG99" s="19" t="s">
        <v>809</v>
      </c>
      <c r="AH99" s="19"/>
      <c r="AI99" s="42" t="s">
        <v>881</v>
      </c>
      <c r="AJ99" s="19"/>
      <c r="AK99" s="19"/>
      <c r="AL99" s="19"/>
      <c r="AM99" s="29"/>
      <c r="AN99" s="20"/>
      <c r="AO99" s="29" t="s">
        <v>886</v>
      </c>
      <c r="AP99" s="20" t="s">
        <v>884</v>
      </c>
      <c r="AQ99" s="19"/>
      <c r="AR99" s="199" t="s">
        <v>877</v>
      </c>
      <c r="AS99" s="19"/>
    </row>
    <row r="100" spans="1:45" ht="61" customHeight="1" x14ac:dyDescent="0.55000000000000004">
      <c r="A100" s="207"/>
      <c r="B100" s="208"/>
      <c r="C100" s="209">
        <v>96</v>
      </c>
      <c r="D100" s="208" t="s">
        <v>136</v>
      </c>
      <c r="E100" s="208" t="s">
        <v>138</v>
      </c>
      <c r="F100" s="210" t="str">
        <f>IFERROR(VLOOKUP(E100,TABLE!$A$27:$B$48,2,FALSE),"")</f>
        <v>ACCORD</v>
      </c>
      <c r="G100" s="211"/>
      <c r="H100" s="208" t="s">
        <v>191</v>
      </c>
      <c r="I100" s="208"/>
      <c r="J100" s="208" t="s">
        <v>220</v>
      </c>
      <c r="K100" s="212"/>
      <c r="L100" s="213">
        <v>1</v>
      </c>
      <c r="M100" s="212" t="s">
        <v>940</v>
      </c>
      <c r="N100" s="208"/>
      <c r="O100" s="214">
        <v>45666</v>
      </c>
      <c r="P100" s="214">
        <v>45666</v>
      </c>
      <c r="Q100" s="208" t="s">
        <v>934</v>
      </c>
      <c r="R100" s="215" t="s">
        <v>939</v>
      </c>
      <c r="S100" s="215">
        <f>IFERROR(VLOOKUP(W100,'TB 各拠点LCM搭載機種一覧 (全拠点）'!$C$12:$K$14,8,FALSE),"")</f>
        <v>4281316802</v>
      </c>
      <c r="T100" s="215" t="str">
        <f>IFERROR(VLOOKUP(W100,'TB 各拠点LCM搭載機種一覧 (全拠点）'!$C$12:$K$14,9,FALSE),"")</f>
        <v>W5882M/LIGHT CNTRL</v>
      </c>
      <c r="U100" s="215"/>
      <c r="V100" s="215" t="s">
        <v>605</v>
      </c>
      <c r="W100" s="208" t="s">
        <v>935</v>
      </c>
      <c r="X100" s="215" t="s">
        <v>936</v>
      </c>
      <c r="Y100" s="215" t="str">
        <f>IFERROR(VLOOKUP(W100,'TB 各拠点LCM搭載機種一覧 (全拠点）'!$C$12:$K$14,2,FALSE),"")</f>
        <v>33100-30E -H020-62</v>
      </c>
      <c r="Z100" s="215" t="str">
        <f>IFERROR(VLOOKUP(W100,'TB 各拠点LCM搭載機種一覧 (全拠点）'!$C$12:$K$14,3,FALSE),"")</f>
        <v>MEAX</v>
      </c>
      <c r="AA100" s="215" t="str">
        <f>IFERROR(VLOOKUP(W100,'TB 各拠点LCM搭載機種一覧 (全拠点）'!$C$12:$K$14,4,FALSE),"")</f>
        <v>Low</v>
      </c>
      <c r="AB100" s="216">
        <v>45589</v>
      </c>
      <c r="AC100" s="217" t="str" cm="1">
        <f t="array" ref="AC100">IFERROR(INDEX(TABLE!$D$5:$D$18,MATCH(1,(TABLE!$A$5:$A$18=D100)*(TABLE!$B$5:$B$18&lt;=AB100)*(TABLE!$C$5:$C$18&gt;=AB100),0)),"対策前")</f>
        <v>T対策4</v>
      </c>
      <c r="AD100" s="218" t="s">
        <v>947</v>
      </c>
      <c r="AE100" s="215"/>
      <c r="AF100" s="215" t="s">
        <v>937</v>
      </c>
      <c r="AG100" s="208" t="s">
        <v>946</v>
      </c>
      <c r="AH100" s="208"/>
      <c r="AI100" s="219"/>
      <c r="AJ100" s="208"/>
      <c r="AK100" s="208"/>
      <c r="AL100" s="208"/>
      <c r="AM100" s="220"/>
      <c r="AN100" s="221"/>
      <c r="AO100" s="220" t="s">
        <v>962</v>
      </c>
      <c r="AP100" s="215" t="s">
        <v>963</v>
      </c>
      <c r="AQ100" s="208"/>
      <c r="AR100" s="222" t="s">
        <v>924</v>
      </c>
    </row>
    <row r="101" spans="1:45" ht="63.75" customHeight="1" x14ac:dyDescent="0.55000000000000004">
      <c r="A101" s="207"/>
      <c r="B101" s="208"/>
      <c r="C101" s="209">
        <v>97</v>
      </c>
      <c r="D101" s="208" t="s">
        <v>136</v>
      </c>
      <c r="E101" s="208" t="s">
        <v>174</v>
      </c>
      <c r="F101" s="210" t="str">
        <f>IFERROR(VLOOKUP(E101,TABLE!$A$27:$B$48,2,FALSE),"")</f>
        <v>CR-V</v>
      </c>
      <c r="G101" s="211"/>
      <c r="H101" s="208" t="s">
        <v>191</v>
      </c>
      <c r="I101" s="208"/>
      <c r="J101" s="208" t="s">
        <v>177</v>
      </c>
      <c r="K101" s="212"/>
      <c r="L101" s="213">
        <v>1</v>
      </c>
      <c r="M101" s="212"/>
      <c r="N101" s="208" t="s">
        <v>941</v>
      </c>
      <c r="O101" s="214">
        <v>45758</v>
      </c>
      <c r="P101" s="214">
        <v>45755</v>
      </c>
      <c r="Q101" s="208" t="s">
        <v>942</v>
      </c>
      <c r="R101" s="215" t="s">
        <v>943</v>
      </c>
      <c r="S101" s="215">
        <f>IFERROR(VLOOKUP(W101,'TB 各拠点LCM搭載機種一覧 (全拠点）'!$C$12:$K$14,8,FALSE),"")</f>
        <v>1480820503</v>
      </c>
      <c r="T101" s="215" t="str">
        <f>IFERROR(VLOOKUP(W101,'TB 各拠点LCM搭載機種一覧 (全拠点）'!$C$12:$K$14,9,FALSE),"")</f>
        <v>W6250M/LIGHT CNTRL</v>
      </c>
      <c r="U101" s="215"/>
      <c r="V101" s="215" t="s">
        <v>605</v>
      </c>
      <c r="W101" s="208" t="s">
        <v>944</v>
      </c>
      <c r="X101" s="215" t="s">
        <v>945</v>
      </c>
      <c r="Y101" s="215" t="str">
        <f>IFERROR(VLOOKUP(W101,'TB 各拠点LCM搭載機種一覧 (全拠点）'!$C$12:$K$14,2,FALSE),"")</f>
        <v>33109-3A0 -A040-62</v>
      </c>
      <c r="Z101" s="215" t="str">
        <f>IFERROR(VLOOKUP(W101,'TB 各拠点LCM搭載機種一覧 (全拠点）'!$C$12:$K$14,3,FALSE),"")</f>
        <v>MEAX</v>
      </c>
      <c r="AA101" s="215" t="str">
        <f>IFERROR(VLOOKUP(W101,'TB 各拠点LCM搭載機種一覧 (全拠点）'!$C$12:$K$14,4,FALSE),"")</f>
        <v>Low</v>
      </c>
      <c r="AB101" s="216">
        <v>45729</v>
      </c>
      <c r="AC101" s="217" t="str" cm="1">
        <f t="array" aca="1" ref="AC101" ca="1">IFERROR(INDEX(TABLE!$D$5:$D$18,MATCH(1,(TABLE!$A$5:$A$18=D101)*(TABLE!$B$5:$B$18&lt;=AB101)*(TABLE!$C$5:$C$18&gt;=AB101),0)),"対策前")</f>
        <v>T対策6(M7)</v>
      </c>
      <c r="AD101" s="218" t="s">
        <v>989</v>
      </c>
      <c r="AE101" s="215"/>
      <c r="AF101" s="215"/>
      <c r="AG101" s="208" t="s">
        <v>961</v>
      </c>
      <c r="AH101" s="208"/>
      <c r="AI101" s="219"/>
      <c r="AJ101" s="208"/>
      <c r="AK101" s="208"/>
      <c r="AL101" s="208"/>
      <c r="AM101" s="220"/>
      <c r="AN101" s="223"/>
      <c r="AO101" s="220" t="s">
        <v>990</v>
      </c>
      <c r="AP101" s="215" t="s">
        <v>991</v>
      </c>
      <c r="AQ101" s="208"/>
      <c r="AR101" s="222" t="s">
        <v>924</v>
      </c>
    </row>
    <row r="102" spans="1:45" ht="63.75" customHeight="1" x14ac:dyDescent="0.55000000000000004">
      <c r="A102" s="207"/>
      <c r="B102" s="208"/>
      <c r="C102" s="209">
        <v>98</v>
      </c>
      <c r="D102" s="208" t="s">
        <v>136</v>
      </c>
      <c r="E102" s="208" t="s">
        <v>138</v>
      </c>
      <c r="F102" s="210" t="str">
        <f>IFERROR(VLOOKUP(E102,TABLE!$A$27:$B$48,2,FALSE),"")</f>
        <v>ACCORD</v>
      </c>
      <c r="G102" s="211"/>
      <c r="H102" s="208" t="s">
        <v>139</v>
      </c>
      <c r="I102" s="208"/>
      <c r="J102" s="208" t="s">
        <v>177</v>
      </c>
      <c r="K102" s="212"/>
      <c r="L102" s="213">
        <v>1</v>
      </c>
      <c r="M102" s="212"/>
      <c r="N102" s="208" t="s">
        <v>948</v>
      </c>
      <c r="O102" s="214">
        <v>45793</v>
      </c>
      <c r="P102" s="214">
        <v>45789</v>
      </c>
      <c r="Q102" s="227" t="s">
        <v>949</v>
      </c>
      <c r="R102" s="215" t="s">
        <v>950</v>
      </c>
      <c r="S102" s="215">
        <f>IFERROR(VLOOKUP(W102,'TB 各拠点LCM搭載機種一覧 (全拠点）'!$C$12:$K$14,8,FALSE),"")</f>
        <v>4281316802</v>
      </c>
      <c r="T102" s="215" t="str">
        <f>IFERROR(VLOOKUP(W102,'TB 各拠点LCM搭載機種一覧 (全拠点）'!$C$12:$K$14,9,FALSE),"")</f>
        <v>W5882M/LIGHT CNTRL</v>
      </c>
      <c r="U102" s="215"/>
      <c r="V102" s="215" t="s">
        <v>605</v>
      </c>
      <c r="W102" s="208" t="s">
        <v>951</v>
      </c>
      <c r="X102" s="215" t="s">
        <v>952</v>
      </c>
      <c r="Y102" s="215" t="str">
        <f>IFERROR(VLOOKUP(W102,'TB 各拠点LCM搭載機種一覧 (全拠点）'!$C$12:$K$14,2,FALSE),"")</f>
        <v>33100-30E -H020-62</v>
      </c>
      <c r="Z102" s="215" t="str">
        <f>IFERROR(VLOOKUP(W102,'TB 各拠点LCM搭載機種一覧 (全拠点）'!$C$12:$K$14,3,FALSE),"")</f>
        <v>MEAX</v>
      </c>
      <c r="AA102" s="215" t="str">
        <f>IFERROR(VLOOKUP(W102,'TB 各拠点LCM搭載機種一覧 (全拠点）'!$C$12:$K$14,4,FALSE),"")</f>
        <v>Low</v>
      </c>
      <c r="AB102" s="216">
        <v>45762</v>
      </c>
      <c r="AC102" s="217" t="str" cm="1">
        <f t="array" aca="1" ref="AC102" ca="1">IFERROR(INDEX(TABLE!$D$5:$D$18,MATCH(1,(TABLE!$A$5:$A$18=D102)*(TABLE!$B$5:$B$18&lt;=AB102)*(TABLE!$C$5:$C$18&gt;=AB102),0)),"対策前")</f>
        <v>T対策6(M7)</v>
      </c>
      <c r="AD102" s="218" t="s">
        <v>986</v>
      </c>
      <c r="AE102" s="215" t="s">
        <v>960</v>
      </c>
      <c r="AF102" s="215" t="s">
        <v>953</v>
      </c>
      <c r="AG102" s="208" t="s">
        <v>809</v>
      </c>
      <c r="AH102" s="208"/>
      <c r="AI102" s="226"/>
      <c r="AJ102" s="208"/>
      <c r="AK102" s="208"/>
      <c r="AL102" s="208"/>
      <c r="AM102" s="220"/>
      <c r="AN102" s="223"/>
      <c r="AO102" s="220" t="s">
        <v>987</v>
      </c>
      <c r="AP102" s="215" t="s">
        <v>988</v>
      </c>
      <c r="AQ102" s="208"/>
      <c r="AR102" s="222" t="s">
        <v>924</v>
      </c>
    </row>
    <row r="103" spans="1:45" ht="63.75" customHeight="1" x14ac:dyDescent="0.55000000000000004">
      <c r="A103" s="207"/>
      <c r="B103" s="208"/>
      <c r="C103" s="209">
        <v>99</v>
      </c>
      <c r="D103" s="208" t="s">
        <v>136</v>
      </c>
      <c r="E103" s="208" t="s">
        <v>174</v>
      </c>
      <c r="F103" s="210" t="str">
        <f>IFERROR(VLOOKUP(E103,TABLE!$A$27:$B$48,2,FALSE),"")</f>
        <v>CR-V</v>
      </c>
      <c r="G103" s="211"/>
      <c r="H103" s="208" t="s">
        <v>191</v>
      </c>
      <c r="I103" s="208"/>
      <c r="J103" s="208" t="s">
        <v>177</v>
      </c>
      <c r="K103" s="212"/>
      <c r="L103" s="213">
        <v>1</v>
      </c>
      <c r="M103" s="212"/>
      <c r="N103" s="208" t="s">
        <v>954</v>
      </c>
      <c r="O103" s="214">
        <v>45797</v>
      </c>
      <c r="P103" s="214">
        <v>45791</v>
      </c>
      <c r="Q103" s="208" t="s">
        <v>955</v>
      </c>
      <c r="R103" s="215" t="s">
        <v>956</v>
      </c>
      <c r="S103" s="215">
        <f>IFERROR(VLOOKUP(W103,'TB 各拠点LCM搭載機種一覧 (全拠点）'!$C$12:$K$14,8,FALSE),"")</f>
        <v>1480820503</v>
      </c>
      <c r="T103" s="215" t="str">
        <f>IFERROR(VLOOKUP(W103,'TB 各拠点LCM搭載機種一覧 (全拠点）'!$C$12:$K$14,9,FALSE),"")</f>
        <v>W6250M/LIGHT CNTRL</v>
      </c>
      <c r="U103" s="215"/>
      <c r="V103" s="215" t="s">
        <v>605</v>
      </c>
      <c r="W103" s="208" t="s">
        <v>957</v>
      </c>
      <c r="X103" s="215" t="s">
        <v>958</v>
      </c>
      <c r="Y103" s="215" t="str">
        <f>IFERROR(VLOOKUP(W103,'TB 各拠点LCM搭載機種一覧 (全拠点）'!$C$12:$K$14,2,FALSE),"")</f>
        <v>33109-3A0 -A040-62</v>
      </c>
      <c r="Z103" s="215" t="str">
        <f>IFERROR(VLOOKUP(W103,'TB 各拠点LCM搭載機種一覧 (全拠点）'!$C$12:$K$14,3,FALSE),"")</f>
        <v>MEAX</v>
      </c>
      <c r="AA103" s="215" t="str">
        <f>IFERROR(VLOOKUP(W103,'TB 各拠点LCM搭載機種一覧 (全拠点）'!$C$12:$K$14,4,FALSE),"")</f>
        <v>Low</v>
      </c>
      <c r="AB103" s="216">
        <v>45779</v>
      </c>
      <c r="AC103" s="217" t="str" cm="1">
        <f t="array" aca="1" ref="AC103" ca="1">IFERROR(INDEX(TABLE!$D$5:$D$18,MATCH(1,(TABLE!$A$5:$A$18=D103)*(TABLE!$B$5:$B$18&lt;=AB103)*(TABLE!$C$5:$C$18&gt;=AB103),0)),"対策前")</f>
        <v>T対策6(M7)</v>
      </c>
      <c r="AD103" s="218" t="s">
        <v>967</v>
      </c>
      <c r="AE103" s="215" t="s">
        <v>959</v>
      </c>
      <c r="AF103" s="215" t="s">
        <v>953</v>
      </c>
      <c r="AG103" s="208" t="s">
        <v>964</v>
      </c>
      <c r="AH103" s="208"/>
      <c r="AI103" s="226"/>
      <c r="AJ103" s="208"/>
      <c r="AK103" s="208"/>
      <c r="AL103" s="208"/>
      <c r="AM103" s="220"/>
      <c r="AN103" s="223"/>
      <c r="AO103" s="220" t="s">
        <v>965</v>
      </c>
      <c r="AP103" s="215" t="s">
        <v>966</v>
      </c>
      <c r="AQ103" s="208"/>
      <c r="AR103" s="222" t="s">
        <v>877</v>
      </c>
    </row>
    <row r="104" spans="1:45" ht="63.75" customHeight="1" x14ac:dyDescent="0.55000000000000004">
      <c r="A104" s="207"/>
      <c r="B104" s="208"/>
      <c r="C104" s="209">
        <v>100</v>
      </c>
      <c r="D104" s="208" t="s">
        <v>968</v>
      </c>
      <c r="E104" s="208" t="s">
        <v>174</v>
      </c>
      <c r="F104" s="210" t="str">
        <f>IFERROR(VLOOKUP(E104,TABLE!$A$27:$B$48,2,FALSE),"")</f>
        <v>CR-V</v>
      </c>
      <c r="G104" s="211"/>
      <c r="H104" s="208" t="s">
        <v>139</v>
      </c>
      <c r="I104" s="208"/>
      <c r="J104" s="208" t="s">
        <v>177</v>
      </c>
      <c r="K104" s="212"/>
      <c r="L104" s="213">
        <v>1</v>
      </c>
      <c r="M104" s="212"/>
      <c r="N104" s="208" t="s">
        <v>969</v>
      </c>
      <c r="O104" s="214">
        <v>45819</v>
      </c>
      <c r="P104" s="214">
        <v>45812</v>
      </c>
      <c r="Q104" s="208" t="s">
        <v>970</v>
      </c>
      <c r="R104" s="215" t="s">
        <v>971</v>
      </c>
      <c r="S104" s="215">
        <f>IFERROR(VLOOKUP(W104,'TB 各拠点LCM搭載機種一覧 (全拠点）'!$C$12:$K$14,8,FALSE),"")</f>
        <v>1480820503</v>
      </c>
      <c r="T104" s="215" t="str">
        <f>IFERROR(VLOOKUP(W104,'TB 各拠点LCM搭載機種一覧 (全拠点）'!$C$12:$K$14,9,FALSE),"")</f>
        <v>W6250M/LIGHT CNTRL</v>
      </c>
      <c r="U104" s="215"/>
      <c r="V104" s="215" t="s">
        <v>605</v>
      </c>
      <c r="W104" s="208" t="s">
        <v>181</v>
      </c>
      <c r="X104" s="215" t="s">
        <v>972</v>
      </c>
      <c r="Y104" s="215" t="str">
        <f>IFERROR(VLOOKUP(W104,'TB 各拠点LCM搭載機種一覧 (全拠点）'!$C$12:$K$14,2,FALSE),"")</f>
        <v>33109-3A0 -A040-62</v>
      </c>
      <c r="Z104" s="215" t="str">
        <f>IFERROR(VLOOKUP(W104,'TB 各拠点LCM搭載機種一覧 (全拠点）'!$C$12:$K$14,3,FALSE),"")</f>
        <v>MEAX</v>
      </c>
      <c r="AA104" s="215" t="str">
        <f>IFERROR(VLOOKUP(W104,'TB 各拠点LCM搭載機種一覧 (全拠点）'!$C$12:$K$14,4,FALSE),"")</f>
        <v>Low</v>
      </c>
      <c r="AB104" s="224">
        <v>45793</v>
      </c>
      <c r="AC104" s="228" t="str" cm="1">
        <f t="array" aca="1" ref="AC104" ca="1">IFERROR(INDEX(TABLE!$D$5:$D$18,MATCH(1,(TABLE!$A$5:$A$18=D104)*(TABLE!$B$5:$B$18&lt;=AB104)*(TABLE!$C$5:$C$18&gt;=AB104),0)),"対策前")</f>
        <v>T対策6(M7)</v>
      </c>
      <c r="AD104" s="218" t="s">
        <v>978</v>
      </c>
      <c r="AE104" s="215" t="s">
        <v>959</v>
      </c>
      <c r="AF104" s="215" t="s">
        <v>571</v>
      </c>
      <c r="AG104" s="208" t="s">
        <v>977</v>
      </c>
      <c r="AH104" s="208"/>
      <c r="AI104" s="226"/>
      <c r="AJ104" s="208"/>
      <c r="AK104" s="208"/>
      <c r="AL104" s="208"/>
      <c r="AM104" s="229"/>
      <c r="AN104" s="215"/>
      <c r="AO104" s="229" t="s">
        <v>983</v>
      </c>
      <c r="AP104" s="215" t="s">
        <v>979</v>
      </c>
      <c r="AQ104" s="208"/>
      <c r="AR104" s="222" t="s">
        <v>877</v>
      </c>
    </row>
    <row r="105" spans="1:45" ht="63.75" customHeight="1" x14ac:dyDescent="0.55000000000000004">
      <c r="A105" s="207"/>
      <c r="B105" s="208"/>
      <c r="C105" s="209">
        <v>101</v>
      </c>
      <c r="D105" s="208" t="s">
        <v>15</v>
      </c>
      <c r="E105" s="208" t="s">
        <v>174</v>
      </c>
      <c r="F105" s="210" t="str">
        <f>IFERROR(VLOOKUP(E105,TABLE!$A$27:$B$48,2,FALSE),"")</f>
        <v>CR-V</v>
      </c>
      <c r="G105" s="211"/>
      <c r="H105" s="208" t="s">
        <v>139</v>
      </c>
      <c r="I105" s="208"/>
      <c r="J105" s="208" t="s">
        <v>205</v>
      </c>
      <c r="K105" s="212"/>
      <c r="L105" s="213">
        <v>1</v>
      </c>
      <c r="M105" s="212"/>
      <c r="N105" s="208" t="s">
        <v>954</v>
      </c>
      <c r="O105" s="214">
        <v>45480</v>
      </c>
      <c r="P105" s="214">
        <v>45480</v>
      </c>
      <c r="Q105" s="208" t="s">
        <v>970</v>
      </c>
      <c r="R105" s="215" t="s">
        <v>973</v>
      </c>
      <c r="S105" s="215">
        <f>IFERROR(VLOOKUP(W105,'TB 各拠点LCM搭載機種一覧 (全拠点）'!$C$12:$K$14,8,FALSE),"")</f>
        <v>1480820503</v>
      </c>
      <c r="T105" s="215" t="str">
        <f>IFERROR(VLOOKUP(W105,'TB 各拠点LCM搭載機種一覧 (全拠点）'!$C$12:$K$14,9,FALSE),"")</f>
        <v>W6250M/LIGHT CNTRL</v>
      </c>
      <c r="U105" s="215"/>
      <c r="V105" s="215" t="s">
        <v>605</v>
      </c>
      <c r="W105" s="208" t="s">
        <v>181</v>
      </c>
      <c r="X105" s="215" t="s">
        <v>975</v>
      </c>
      <c r="Y105" s="215" t="str">
        <f>IFERROR(VLOOKUP(W105,'TB 各拠点LCM搭載機種一覧 (全拠点）'!$C$12:$K$14,2,FALSE),"")</f>
        <v>33109-3A0 -A040-62</v>
      </c>
      <c r="Z105" s="215" t="str">
        <f>IFERROR(VLOOKUP(W105,'TB 各拠点LCM搭載機種一覧 (全拠点）'!$C$12:$K$14,3,FALSE),"")</f>
        <v>MEAX</v>
      </c>
      <c r="AA105" s="215" t="str">
        <f>IFERROR(VLOOKUP(W105,'TB 各拠点LCM搭載機種一覧 (全拠点）'!$C$12:$K$14,4,FALSE),"")</f>
        <v>Low</v>
      </c>
      <c r="AB105" s="224">
        <v>45435</v>
      </c>
      <c r="AC105" s="228" t="str" cm="1">
        <f t="array" ref="AC105">IFERROR(INDEX(TABLE!$D$5:$D$18,MATCH(1,(TABLE!$A$5:$A$18=D105)*(TABLE!$B$5:$B$18&lt;=AB105)*(TABLE!$C$5:$C$18&gt;=AB105),0)),"対策前")</f>
        <v>M対策7</v>
      </c>
      <c r="AD105" s="218" t="s">
        <v>980</v>
      </c>
      <c r="AE105" s="215" t="s">
        <v>959</v>
      </c>
      <c r="AF105" s="215" t="s">
        <v>571</v>
      </c>
      <c r="AG105" s="208" t="s">
        <v>161</v>
      </c>
      <c r="AH105" s="208"/>
      <c r="AI105" s="226"/>
      <c r="AJ105" s="208"/>
      <c r="AK105" s="208"/>
      <c r="AL105" s="208"/>
      <c r="AM105" s="229"/>
      <c r="AN105" s="215"/>
      <c r="AO105" s="229" t="s">
        <v>984</v>
      </c>
      <c r="AP105" s="215" t="s">
        <v>981</v>
      </c>
      <c r="AQ105" s="208"/>
      <c r="AR105" s="222" t="s">
        <v>877</v>
      </c>
    </row>
    <row r="106" spans="1:45" ht="97" customHeight="1" x14ac:dyDescent="0.55000000000000004">
      <c r="A106" s="207"/>
      <c r="B106" s="208"/>
      <c r="C106" s="209">
        <v>102</v>
      </c>
      <c r="D106" s="208" t="s">
        <v>15</v>
      </c>
      <c r="E106" s="208" t="s">
        <v>174</v>
      </c>
      <c r="F106" s="210" t="str">
        <f>IFERROR(VLOOKUP(E106,TABLE!$A$27:$B$48,2,FALSE),"")</f>
        <v>CR-V</v>
      </c>
      <c r="G106" s="211"/>
      <c r="H106" s="208" t="s">
        <v>191</v>
      </c>
      <c r="I106" s="208"/>
      <c r="J106" s="208" t="s">
        <v>205</v>
      </c>
      <c r="K106" s="212"/>
      <c r="L106" s="213">
        <v>1</v>
      </c>
      <c r="M106" s="212"/>
      <c r="N106" s="208" t="s">
        <v>954</v>
      </c>
      <c r="O106" s="214">
        <v>45097</v>
      </c>
      <c r="P106" s="214">
        <v>45097</v>
      </c>
      <c r="Q106" s="26" t="s">
        <v>970</v>
      </c>
      <c r="R106" s="215" t="s">
        <v>974</v>
      </c>
      <c r="S106" s="215">
        <f>IFERROR(VLOOKUP(W106,'TB 各拠点LCM搭載機種一覧 (全拠点）'!$C$12:$K$14,8,FALSE),"")</f>
        <v>1480820503</v>
      </c>
      <c r="T106" s="215" t="str">
        <f>IFERROR(VLOOKUP(W106,'TB 各拠点LCM搭載機種一覧 (全拠点）'!$C$12:$K$14,9,FALSE),"")</f>
        <v>W6250M/LIGHT CNTRL</v>
      </c>
      <c r="U106" s="215"/>
      <c r="V106" s="215" t="s">
        <v>605</v>
      </c>
      <c r="W106" s="208" t="s">
        <v>181</v>
      </c>
      <c r="X106" s="215" t="s">
        <v>976</v>
      </c>
      <c r="Y106" s="215" t="str">
        <f>IFERROR(VLOOKUP(W106,'TB 各拠点LCM搭載機種一覧 (全拠点）'!$C$12:$K$14,2,FALSE),"")</f>
        <v>33109-3A0 -A040-62</v>
      </c>
      <c r="Z106" s="215" t="str">
        <f>IFERROR(VLOOKUP(W106,'TB 各拠点LCM搭載機種一覧 (全拠点）'!$C$12:$K$14,3,FALSE),"")</f>
        <v>MEAX</v>
      </c>
      <c r="AA106" s="215" t="str">
        <f>IFERROR(VLOOKUP(W106,'TB 各拠点LCM搭載機種一覧 (全拠点）'!$C$12:$K$14,4,FALSE),"")</f>
        <v>Low</v>
      </c>
      <c r="AB106" s="224">
        <v>45097</v>
      </c>
      <c r="AC106" s="228" t="str" cm="1">
        <f t="array" ref="AC106">IFERROR(INDEX(TABLE!$D$5:$D$18,MATCH(1,(TABLE!$A$5:$A$18=D106)*(TABLE!$B$5:$B$18&lt;=AB106)*(TABLE!$C$5:$C$18&gt;=AB106),0)),"対策前")</f>
        <v>M対策4</v>
      </c>
      <c r="AD106" s="218" t="s">
        <v>982</v>
      </c>
      <c r="AE106" s="215" t="s">
        <v>959</v>
      </c>
      <c r="AF106" s="215" t="s">
        <v>571</v>
      </c>
      <c r="AG106" s="208" t="s">
        <v>161</v>
      </c>
      <c r="AH106" s="208"/>
      <c r="AI106" s="226"/>
      <c r="AJ106" s="208"/>
      <c r="AK106" s="208"/>
      <c r="AL106" s="208"/>
      <c r="AM106" s="229"/>
      <c r="AN106" s="215"/>
      <c r="AO106" s="229" t="s">
        <v>985</v>
      </c>
      <c r="AP106" s="215" t="s">
        <v>981</v>
      </c>
      <c r="AQ106" s="208"/>
      <c r="AR106" s="222" t="s">
        <v>877</v>
      </c>
    </row>
    <row r="107" spans="1:45" ht="104.25" customHeight="1" x14ac:dyDescent="0.55000000000000004">
      <c r="G107"/>
      <c r="K107" s="23"/>
      <c r="L107" s="23"/>
      <c r="M107" s="23"/>
      <c r="O107" s="30"/>
      <c r="P107" s="33"/>
      <c r="R107" s="21"/>
      <c r="S107" s="21"/>
      <c r="T107" s="21"/>
      <c r="U107" s="21"/>
      <c r="V107" s="21"/>
      <c r="X107" s="21"/>
      <c r="Y107" s="21"/>
      <c r="Z107" s="21"/>
      <c r="AA107" s="21"/>
      <c r="AB107" s="224"/>
      <c r="AC107" s="33"/>
      <c r="AD107" s="21"/>
      <c r="AE107" s="21"/>
      <c r="AF107" s="21"/>
      <c r="AI107" s="21"/>
      <c r="AN107" s="21"/>
      <c r="AP107" s="21"/>
    </row>
    <row r="108" spans="1:45" ht="105" customHeight="1" x14ac:dyDescent="0.55000000000000004">
      <c r="E108" s="18"/>
      <c r="F108" s="18"/>
      <c r="G108"/>
    </row>
    <row r="109" spans="1:45" ht="98.25" customHeight="1" x14ac:dyDescent="0.55000000000000004">
      <c r="G109"/>
      <c r="O109" s="30"/>
      <c r="P109" s="21"/>
      <c r="Q109" s="21"/>
      <c r="R109" s="21"/>
      <c r="S109" s="21"/>
      <c r="T109" s="21"/>
      <c r="U109" s="21"/>
      <c r="X109" s="21"/>
      <c r="Y109" s="21"/>
      <c r="Z109" s="21"/>
      <c r="AA109" s="21"/>
      <c r="AC109" s="30"/>
      <c r="AD109" s="30"/>
      <c r="AE109" s="21"/>
      <c r="AK109" s="31"/>
      <c r="AM109" s="21"/>
      <c r="AN109" s="21"/>
      <c r="AO109" s="21"/>
      <c r="AP109" s="21"/>
      <c r="AR109" s="21"/>
    </row>
    <row r="110" spans="1:45" ht="250.5" customHeight="1" x14ac:dyDescent="0.55000000000000004">
      <c r="G110"/>
      <c r="K110" s="21"/>
      <c r="L110" s="21"/>
      <c r="M110" s="21"/>
      <c r="N110" s="21"/>
      <c r="O110" s="22"/>
      <c r="P110" s="22"/>
      <c r="X110" s="21"/>
      <c r="Y110" s="21"/>
      <c r="Z110" s="21"/>
      <c r="AA110" s="21"/>
      <c r="AC110" s="30"/>
      <c r="AD110" s="30"/>
      <c r="AE110" s="21"/>
      <c r="AO110" s="21"/>
    </row>
    <row r="111" spans="1:45" ht="154.5" customHeight="1" x14ac:dyDescent="0.55000000000000004">
      <c r="E111" s="21"/>
      <c r="G111"/>
      <c r="O111" s="30"/>
      <c r="P111" s="30"/>
      <c r="Q111" s="21"/>
      <c r="R111" s="21"/>
      <c r="S111" s="21"/>
      <c r="T111" s="21"/>
      <c r="U111" s="21"/>
      <c r="AC111" s="36"/>
      <c r="AD111" s="36"/>
      <c r="AE111" s="21"/>
      <c r="AF111" s="21"/>
      <c r="AH111" s="21"/>
      <c r="AI111" s="21"/>
      <c r="AJ111" s="21"/>
      <c r="AK111" s="21"/>
      <c r="AL111" s="21"/>
      <c r="AO111" s="21"/>
      <c r="AP111" s="21"/>
      <c r="AR111" s="21"/>
    </row>
    <row r="112" spans="1:45" ht="96.75" customHeight="1" x14ac:dyDescent="0.55000000000000004">
      <c r="G112"/>
      <c r="O112" s="30"/>
      <c r="P112" s="30"/>
      <c r="Q112" s="21"/>
      <c r="R112" s="21"/>
      <c r="S112" s="21"/>
      <c r="T112" s="21"/>
      <c r="U112" s="21"/>
      <c r="X112" s="21"/>
      <c r="Y112" s="21"/>
      <c r="Z112" s="21"/>
      <c r="AA112" s="21"/>
      <c r="AC112" s="30"/>
      <c r="AD112" s="36"/>
      <c r="AE112" s="21"/>
      <c r="AF112" s="21"/>
      <c r="AI112" s="21"/>
      <c r="AJ112" s="21"/>
      <c r="AK112" s="21"/>
      <c r="AM112" s="21"/>
      <c r="AN112" s="21"/>
      <c r="AO112" s="31"/>
      <c r="AP112" s="21"/>
      <c r="AR112" s="21"/>
    </row>
    <row r="113" spans="6:42" ht="82.5" customHeight="1" x14ac:dyDescent="0.55000000000000004">
      <c r="F113" s="21"/>
      <c r="G113"/>
      <c r="O113" s="30"/>
      <c r="P113" s="30"/>
      <c r="R113" s="21"/>
      <c r="S113" s="21"/>
      <c r="T113" s="21"/>
      <c r="U113" s="21"/>
      <c r="AC113" s="36"/>
      <c r="AD113" s="36"/>
      <c r="AE113" s="21"/>
      <c r="AF113" s="21"/>
      <c r="AK113" s="21"/>
      <c r="AM113" s="31"/>
      <c r="AN113" s="21"/>
      <c r="AO113" s="21"/>
      <c r="AP113" s="21"/>
    </row>
    <row r="114" spans="6:42" ht="69.75" customHeight="1" x14ac:dyDescent="0.55000000000000004">
      <c r="F114" s="21"/>
      <c r="G114"/>
      <c r="O114" s="30"/>
      <c r="P114" s="30"/>
      <c r="R114" s="21"/>
      <c r="S114" s="21"/>
      <c r="T114" s="21"/>
      <c r="U114" s="21"/>
      <c r="X114" s="21"/>
      <c r="Y114" s="21"/>
      <c r="Z114" s="21"/>
      <c r="AA114" s="21"/>
      <c r="AC114" s="36"/>
      <c r="AD114" s="34"/>
      <c r="AE114" s="21"/>
      <c r="AF114" s="21"/>
      <c r="AM114" s="31"/>
      <c r="AN114" s="32"/>
      <c r="AO114" s="31"/>
      <c r="AP114" s="21"/>
    </row>
    <row r="115" spans="6:42" ht="69.75" customHeight="1" x14ac:dyDescent="0.55000000000000004">
      <c r="F115" s="21"/>
      <c r="G115"/>
      <c r="O115" s="30"/>
      <c r="P115" s="30"/>
      <c r="R115" s="21"/>
      <c r="S115" s="21"/>
      <c r="T115" s="21"/>
      <c r="U115" s="21"/>
      <c r="X115" s="21"/>
      <c r="Y115" s="21"/>
      <c r="Z115" s="21"/>
      <c r="AA115" s="21"/>
      <c r="AC115" s="36"/>
      <c r="AD115" s="34"/>
      <c r="AE115" s="21"/>
      <c r="AF115" s="21"/>
      <c r="AM115" s="31"/>
      <c r="AN115" s="32"/>
      <c r="AO115" s="31"/>
      <c r="AP115" s="21"/>
    </row>
    <row r="116" spans="6:42" ht="67.5" customHeight="1" x14ac:dyDescent="0.55000000000000004">
      <c r="F116" s="21"/>
      <c r="G116"/>
      <c r="O116" s="30"/>
      <c r="P116" s="30"/>
      <c r="R116" s="21"/>
      <c r="S116" s="21"/>
      <c r="T116" s="21"/>
      <c r="X116" s="21"/>
      <c r="Y116" s="21"/>
      <c r="Z116" s="21"/>
      <c r="AA116" s="21"/>
      <c r="AC116" s="36"/>
      <c r="AD116" s="34"/>
      <c r="AE116" s="21"/>
      <c r="AF116" s="21"/>
      <c r="AM116" s="31"/>
      <c r="AN116" s="32"/>
      <c r="AO116" s="31"/>
      <c r="AP116" s="21"/>
    </row>
    <row r="117" spans="6:42" ht="82.5" customHeight="1" x14ac:dyDescent="0.55000000000000004">
      <c r="F117" s="21"/>
      <c r="G117"/>
      <c r="O117" s="30"/>
      <c r="P117" s="30"/>
      <c r="R117" s="21"/>
      <c r="S117" s="21"/>
      <c r="T117" s="21"/>
      <c r="X117" s="21"/>
      <c r="Y117" s="21"/>
      <c r="Z117" s="21"/>
      <c r="AA117" s="21"/>
      <c r="AC117" s="36"/>
      <c r="AD117" s="34"/>
      <c r="AE117" s="21"/>
      <c r="AF117" s="21"/>
      <c r="AH117" s="17"/>
      <c r="AI117" s="32"/>
      <c r="AJ117" s="32"/>
      <c r="AK117" s="32"/>
      <c r="AL117" s="32"/>
      <c r="AM117" s="31"/>
      <c r="AN117" s="32"/>
      <c r="AO117" s="31"/>
      <c r="AP117" s="21"/>
    </row>
    <row r="118" spans="6:42" ht="82.5" customHeight="1" x14ac:dyDescent="0.55000000000000004">
      <c r="F118" s="21"/>
      <c r="G118"/>
      <c r="O118" s="30"/>
      <c r="P118" s="30"/>
      <c r="R118" s="21"/>
      <c r="S118" s="21"/>
      <c r="T118" s="21"/>
      <c r="X118" s="21"/>
      <c r="Y118" s="21"/>
      <c r="Z118" s="21"/>
      <c r="AA118" s="21"/>
      <c r="AC118" s="36"/>
      <c r="AD118" s="34"/>
      <c r="AE118" s="21"/>
      <c r="AH118" s="17"/>
      <c r="AI118" s="32"/>
      <c r="AJ118" s="31"/>
      <c r="AK118" s="32"/>
      <c r="AL118" s="32"/>
      <c r="AM118" s="31"/>
      <c r="AN118" s="32"/>
      <c r="AO118" s="31"/>
      <c r="AP118" s="21"/>
    </row>
    <row r="119" spans="6:42" ht="82.5" customHeight="1" x14ac:dyDescent="0.55000000000000004">
      <c r="F119" s="21"/>
      <c r="G119"/>
      <c r="O119" s="30"/>
      <c r="P119" s="30"/>
      <c r="R119" s="21"/>
      <c r="S119" s="21"/>
      <c r="T119" s="21"/>
      <c r="X119" s="21"/>
      <c r="Y119" s="21"/>
      <c r="Z119" s="21"/>
      <c r="AA119" s="21"/>
      <c r="AC119" s="36"/>
      <c r="AD119" s="34"/>
      <c r="AE119" s="21"/>
      <c r="AH119" s="17"/>
      <c r="AI119" s="32"/>
      <c r="AJ119" s="32"/>
      <c r="AK119" s="31"/>
      <c r="AL119" s="32"/>
      <c r="AM119" s="31"/>
      <c r="AN119" s="32"/>
      <c r="AO119" s="31"/>
      <c r="AP119" s="21"/>
    </row>
    <row r="120" spans="6:42" ht="82.5" customHeight="1" x14ac:dyDescent="0.55000000000000004">
      <c r="F120" s="21"/>
      <c r="G120"/>
      <c r="O120" s="30"/>
      <c r="P120" s="30"/>
      <c r="R120" s="21"/>
      <c r="S120" s="21"/>
      <c r="T120" s="21"/>
      <c r="X120" s="21"/>
      <c r="Y120" s="21"/>
      <c r="Z120" s="21"/>
      <c r="AA120" s="21"/>
      <c r="AC120" s="36"/>
      <c r="AD120" s="34"/>
      <c r="AE120" s="21"/>
      <c r="AH120" s="17"/>
      <c r="AI120" s="32"/>
      <c r="AJ120" s="32"/>
      <c r="AK120" s="32"/>
      <c r="AL120" s="32"/>
      <c r="AM120" s="31"/>
      <c r="AN120" s="35"/>
      <c r="AO120" s="31"/>
      <c r="AP120" s="21"/>
    </row>
    <row r="121" spans="6:42" ht="82.5" customHeight="1" x14ac:dyDescent="0.55000000000000004">
      <c r="F121" s="21"/>
      <c r="G121"/>
      <c r="O121" s="30"/>
      <c r="P121" s="30"/>
      <c r="R121" s="21"/>
      <c r="S121" s="21"/>
      <c r="T121" s="21"/>
      <c r="X121" s="21"/>
      <c r="Y121" s="21"/>
      <c r="Z121" s="21"/>
      <c r="AA121" s="21"/>
      <c r="AC121" s="36"/>
      <c r="AD121" s="34"/>
      <c r="AE121" s="21"/>
      <c r="AH121" s="17"/>
      <c r="AI121" s="32"/>
      <c r="AJ121" s="32"/>
      <c r="AK121" s="32"/>
      <c r="AL121" s="32"/>
      <c r="AM121" s="31"/>
      <c r="AN121" s="35"/>
      <c r="AO121" s="31"/>
      <c r="AP121" s="21"/>
    </row>
    <row r="122" spans="6:42" ht="82.5" customHeight="1" x14ac:dyDescent="0.55000000000000004">
      <c r="F122" s="21"/>
      <c r="G122"/>
      <c r="O122" s="30"/>
      <c r="P122" s="30"/>
      <c r="X122" s="21"/>
      <c r="Y122" s="21"/>
      <c r="Z122" s="21"/>
      <c r="AA122" s="21"/>
      <c r="AC122" s="36"/>
      <c r="AD122" s="36"/>
      <c r="AE122" s="21"/>
      <c r="AH122" s="21"/>
      <c r="AI122" s="21"/>
      <c r="AJ122" s="21"/>
      <c r="AK122" s="21"/>
      <c r="AL122" s="21"/>
      <c r="AM122" s="21"/>
      <c r="AN122" s="21"/>
      <c r="AO122" s="31"/>
      <c r="AP122" s="21"/>
    </row>
    <row r="123" spans="6:42" ht="82.5" customHeight="1" x14ac:dyDescent="0.55000000000000004">
      <c r="F123" s="21"/>
      <c r="G123"/>
      <c r="O123" s="30"/>
      <c r="P123" s="30"/>
      <c r="R123" s="21"/>
      <c r="S123" s="21"/>
      <c r="T123" s="21"/>
      <c r="X123" s="21"/>
      <c r="Y123" s="21"/>
      <c r="Z123" s="21"/>
      <c r="AA123" s="21"/>
      <c r="AC123" s="36"/>
      <c r="AD123" s="36"/>
      <c r="AE123" s="21"/>
      <c r="AH123" s="21"/>
      <c r="AI123" s="21"/>
      <c r="AJ123" s="21"/>
      <c r="AK123" s="21"/>
      <c r="AL123" s="21"/>
      <c r="AM123" s="21"/>
      <c r="AN123" s="21"/>
      <c r="AO123" s="31"/>
      <c r="AP123" s="21"/>
    </row>
    <row r="124" spans="6:42" ht="82.5" customHeight="1" x14ac:dyDescent="0.55000000000000004">
      <c r="F124" s="21"/>
      <c r="G124"/>
      <c r="O124" s="30"/>
      <c r="P124" s="30"/>
      <c r="X124" s="21"/>
      <c r="Y124" s="21"/>
      <c r="Z124" s="21"/>
      <c r="AA124" s="21"/>
      <c r="AC124" s="36"/>
      <c r="AD124" s="36"/>
      <c r="AE124" s="21"/>
      <c r="AO124" s="21"/>
      <c r="AP124" s="21"/>
    </row>
    <row r="125" spans="6:42" ht="82.5" customHeight="1" x14ac:dyDescent="0.55000000000000004">
      <c r="F125" s="21"/>
      <c r="G125"/>
      <c r="O125" s="30"/>
      <c r="P125" s="30"/>
      <c r="AC125" s="36"/>
      <c r="AD125" s="36"/>
      <c r="AE125" s="21"/>
      <c r="AO125" s="21"/>
      <c r="AP125" s="21"/>
    </row>
    <row r="126" spans="6:42" ht="82.5" customHeight="1" x14ac:dyDescent="0.55000000000000004">
      <c r="F126" s="21"/>
      <c r="G126"/>
      <c r="O126" s="30"/>
      <c r="P126" s="30"/>
      <c r="AC126" s="36"/>
      <c r="AD126" s="36"/>
      <c r="AE126" s="21"/>
      <c r="AO126" s="21"/>
      <c r="AP126" s="21"/>
    </row>
    <row r="127" spans="6:42" ht="82.5" customHeight="1" x14ac:dyDescent="0.55000000000000004">
      <c r="F127" s="21"/>
      <c r="G127"/>
      <c r="O127" s="30"/>
      <c r="P127" s="30"/>
      <c r="AC127" s="36"/>
      <c r="AD127" s="36"/>
      <c r="AE127" s="21"/>
      <c r="AO127" s="21"/>
      <c r="AP127" s="21"/>
    </row>
    <row r="128" spans="6:42" ht="82.5" customHeight="1" x14ac:dyDescent="0.55000000000000004">
      <c r="F128" s="21"/>
      <c r="G128"/>
      <c r="O128" s="30"/>
      <c r="P128" s="30"/>
      <c r="AC128" s="36"/>
      <c r="AD128" s="36"/>
      <c r="AE128" s="21"/>
      <c r="AO128" s="21"/>
      <c r="AP128" s="21"/>
    </row>
    <row r="129" spans="6:42" ht="82.5" customHeight="1" x14ac:dyDescent="0.55000000000000004">
      <c r="F129" s="21"/>
      <c r="G129"/>
      <c r="O129" s="30"/>
      <c r="P129" s="30"/>
      <c r="AC129" s="36"/>
      <c r="AD129" s="36"/>
      <c r="AE129" s="21"/>
      <c r="AO129" s="21"/>
      <c r="AP129" s="21"/>
    </row>
    <row r="130" spans="6:42" ht="82.5" customHeight="1" x14ac:dyDescent="0.55000000000000004">
      <c r="F130" s="21"/>
      <c r="O130" s="30"/>
      <c r="P130" s="30"/>
      <c r="AC130" s="36"/>
      <c r="AD130" s="36"/>
      <c r="AE130" s="21"/>
      <c r="AO130" s="21"/>
      <c r="AP130" s="21"/>
    </row>
    <row r="131" spans="6:42" ht="82.5" customHeight="1" x14ac:dyDescent="0.55000000000000004">
      <c r="F131" s="21"/>
      <c r="O131" s="30"/>
      <c r="P131" s="30"/>
      <c r="AC131" s="36"/>
      <c r="AD131" s="36"/>
      <c r="AE131" s="21"/>
      <c r="AO131" s="21"/>
      <c r="AP131" s="21"/>
    </row>
    <row r="132" spans="6:42" ht="82.5" customHeight="1" x14ac:dyDescent="0.55000000000000004">
      <c r="F132" s="21"/>
      <c r="O132" s="30"/>
      <c r="P132" s="30"/>
      <c r="AC132" s="36"/>
      <c r="AD132" s="36"/>
      <c r="AE132" s="21"/>
      <c r="AO132" s="21"/>
      <c r="AP132" s="21"/>
    </row>
    <row r="133" spans="6:42" ht="82.5" customHeight="1" x14ac:dyDescent="0.55000000000000004">
      <c r="F133" s="21"/>
      <c r="O133" s="30"/>
      <c r="P133" s="30"/>
      <c r="AC133" s="36"/>
      <c r="AD133" s="36"/>
      <c r="AE133" s="21"/>
      <c r="AO133" s="21"/>
      <c r="AP133" s="21"/>
    </row>
    <row r="134" spans="6:42" ht="82.5" customHeight="1" x14ac:dyDescent="0.55000000000000004">
      <c r="F134" s="21"/>
      <c r="O134" s="30"/>
      <c r="P134" s="30"/>
      <c r="AC134" s="36"/>
      <c r="AD134" s="36"/>
      <c r="AE134" s="21"/>
      <c r="AO134" s="21"/>
      <c r="AP134" s="21"/>
    </row>
    <row r="135" spans="6:42" ht="82.5" customHeight="1" x14ac:dyDescent="0.55000000000000004">
      <c r="F135" s="21"/>
      <c r="O135" s="30"/>
      <c r="P135" s="30"/>
      <c r="AC135" s="36"/>
      <c r="AD135" s="36"/>
      <c r="AE135" s="21"/>
      <c r="AO135" s="21"/>
      <c r="AP135" s="21"/>
    </row>
    <row r="136" spans="6:42" ht="82.5" customHeight="1" x14ac:dyDescent="0.55000000000000004">
      <c r="F136" s="21"/>
      <c r="O136" s="30"/>
      <c r="P136" s="30"/>
      <c r="AC136" s="36"/>
      <c r="AD136" s="36"/>
      <c r="AE136" s="21"/>
      <c r="AO136" s="21"/>
      <c r="AP136" s="21"/>
    </row>
    <row r="137" spans="6:42" ht="82.5" customHeight="1" x14ac:dyDescent="0.55000000000000004">
      <c r="F137" s="21"/>
      <c r="O137" s="30"/>
      <c r="P137" s="30"/>
      <c r="AC137" s="36"/>
      <c r="AD137" s="36"/>
      <c r="AE137" s="21"/>
      <c r="AO137" s="21"/>
      <c r="AP137" s="21"/>
    </row>
    <row r="138" spans="6:42" ht="82.5" customHeight="1" x14ac:dyDescent="0.55000000000000004">
      <c r="F138" s="21"/>
      <c r="O138" s="30"/>
      <c r="P138" s="30"/>
      <c r="AC138" s="36"/>
      <c r="AD138" s="36"/>
      <c r="AE138" s="21"/>
      <c r="AO138" s="21"/>
      <c r="AP138" s="21"/>
    </row>
    <row r="139" spans="6:42" ht="82.5" customHeight="1" x14ac:dyDescent="0.55000000000000004">
      <c r="F139" s="21"/>
      <c r="O139" s="30"/>
      <c r="P139" s="30"/>
      <c r="AC139" s="36"/>
      <c r="AD139" s="36"/>
      <c r="AE139" s="21"/>
      <c r="AO139" s="21"/>
      <c r="AP139" s="21"/>
    </row>
    <row r="140" spans="6:42" ht="322.5" customHeight="1" x14ac:dyDescent="0.55000000000000004">
      <c r="F140" s="21"/>
      <c r="O140" s="30"/>
      <c r="P140" s="30"/>
      <c r="AC140" s="36"/>
      <c r="AD140" s="36"/>
      <c r="AE140" s="21"/>
      <c r="AO140" s="21"/>
      <c r="AP140" s="21"/>
    </row>
    <row r="141" spans="6:42" ht="36.75" customHeight="1" x14ac:dyDescent="0.55000000000000004">
      <c r="F141" s="21"/>
      <c r="O141" s="30"/>
      <c r="P141" s="30"/>
      <c r="AC141" s="36"/>
      <c r="AD141" s="36"/>
      <c r="AE141" s="21"/>
      <c r="AO141" s="21"/>
      <c r="AP141" s="21"/>
    </row>
    <row r="142" spans="6:42" ht="36.75" customHeight="1" x14ac:dyDescent="0.55000000000000004">
      <c r="F142" s="21"/>
      <c r="O142" s="30"/>
      <c r="P142" s="30"/>
      <c r="AC142" s="36"/>
      <c r="AD142" s="36"/>
      <c r="AE142" s="21"/>
      <c r="AO142" s="21"/>
      <c r="AP142" s="21"/>
    </row>
    <row r="143" spans="6:42" ht="409.6" customHeight="1" x14ac:dyDescent="0.55000000000000004">
      <c r="F143" s="21"/>
      <c r="O143" s="30"/>
      <c r="P143" s="30"/>
      <c r="AC143" s="36"/>
      <c r="AD143" s="36"/>
      <c r="AE143" s="21"/>
      <c r="AO143" s="21"/>
      <c r="AP143" s="21"/>
    </row>
    <row r="144" spans="6:42" ht="36.75" customHeight="1" x14ac:dyDescent="0.55000000000000004">
      <c r="F144" s="21"/>
      <c r="O144" s="30"/>
      <c r="P144" s="30"/>
      <c r="AC144" s="36"/>
      <c r="AD144" s="36"/>
      <c r="AE144" s="21"/>
      <c r="AO144" s="21"/>
      <c r="AP144" s="21"/>
    </row>
    <row r="145" spans="4:42" ht="36.75" customHeight="1" x14ac:dyDescent="0.55000000000000004">
      <c r="F145" s="21"/>
      <c r="O145" s="30"/>
      <c r="P145" s="30"/>
      <c r="AC145" s="36"/>
      <c r="AD145" s="36"/>
      <c r="AE145" s="21"/>
      <c r="AO145" s="21"/>
      <c r="AP145" s="21"/>
    </row>
    <row r="146" spans="4:42" ht="362.25" customHeight="1" x14ac:dyDescent="0.55000000000000004"/>
    <row r="147" spans="4:42" ht="237" customHeight="1" x14ac:dyDescent="0.55000000000000004">
      <c r="D147" s="37"/>
    </row>
    <row r="148" spans="4:42" ht="36.75" customHeight="1" x14ac:dyDescent="0.55000000000000004"/>
    <row r="149" spans="4:42" ht="36.75" customHeight="1" x14ac:dyDescent="0.55000000000000004"/>
    <row r="150" spans="4:42" ht="36.75" customHeight="1" x14ac:dyDescent="0.55000000000000004">
      <c r="D150" s="37"/>
    </row>
    <row r="151" spans="4:42" ht="50.25" customHeight="1" x14ac:dyDescent="0.55000000000000004"/>
  </sheetData>
  <sortState xmlns:xlrd2="http://schemas.microsoft.com/office/spreadsheetml/2017/richdata2" ref="G71:G72">
    <sortCondition ref="G71:G72"/>
  </sortState>
  <mergeCells count="3">
    <mergeCell ref="AI3:AJ3"/>
    <mergeCell ref="AK3:AL3"/>
    <mergeCell ref="AM3:AN3"/>
  </mergeCells>
  <phoneticPr fontId="1"/>
  <dataValidations count="6">
    <dataValidation type="list" allowBlank="1" showInputMessage="1" showErrorMessage="1" sqref="J1:J3 J5:J1048576" xr:uid="{266E50E2-FB18-4C97-BF79-0D6BE729CD8B}">
      <formula1>"搬入,市場,工程内"</formula1>
    </dataValidation>
    <dataValidation imeMode="disabled" allowBlank="1" showInputMessage="1" showErrorMessage="1" sqref="AB2 W1:AB1 P98:P99 W2:Z2 O98 O1:P97 Y104:AB105 W105:X105 W104 K1:L1048576 W3:AB103 AD1:AD1048576 R1:U1048576 O100:P1048576 W106:AB1048576" xr:uid="{6F1DF0A7-C2B8-4E6A-899A-0A1EEF596FDF}"/>
    <dataValidation type="list" allowBlank="1" showInputMessage="1" showErrorMessage="1" sqref="E1:E1048576" xr:uid="{AA5DF2E1-D57C-4D6C-B857-6AFF82778552}">
      <formula1>"30AA,3A0A"</formula1>
    </dataValidation>
    <dataValidation type="list" allowBlank="1" showInputMessage="1" showErrorMessage="1" sqref="D1:D1048576" xr:uid="{7566656A-7190-4F7B-893E-D44470C6C7E0}">
      <formula1>"SUS"</formula1>
    </dataValidation>
    <dataValidation type="list" allowBlank="1" showInputMessage="1" showErrorMessage="1" sqref="H1:H1048576" xr:uid="{0B98CF6C-11A0-41E2-BCD7-0970ED7F0F2D}">
      <formula1>"RH,LH"</formula1>
    </dataValidation>
    <dataValidation type="list" allowBlank="1" showInputMessage="1" showErrorMessage="1" sqref="V1:V1048576" xr:uid="{21BDF8E2-FD29-4343-BEBB-C4B44DFCC50C}">
      <formula1>"MELAC,MEAX"</formula1>
    </dataValidation>
  </dataValidations>
  <hyperlinks>
    <hyperlink ref="AS67" r:id="rId1" display="N:\2024\品改\0_部共通\20_ｸﾚｰﾑ実績情報(2024年)\2)事故・重ｸﾚｰﾑ進捗状況確認ｼｰﾄ\1.事故・重・軽多数個\2405-06_(重)SEB H60A 上下光軸調整不可.xlsx" xr:uid="{3F480DB4-097E-4FDE-8954-95365E8548F3}"/>
    <hyperlink ref="C96" r:id="rId2" display="../../自調_24-22-SUS-3A0A HL RH –NO LowHigh Beam LIGHT FUNCTION _20240731" xr:uid="{0B6882CE-71FA-4BDD-89E6-1C2C1C2DFDCF}"/>
    <hyperlink ref="C58" r:id="rId3" display="../../自調_24-04-SUS-30AA HL LH DRL,FT,SM機能しない_20240402/03_MELMB確認結果_KLZB1-17315" xr:uid="{62DD5CAB-3654-419E-BDB1-6B2F1AE3943A}"/>
    <hyperlink ref="C59" r:id="rId4" display="../../自調_24-05-SUS-3A0A HL LH 全不灯_20240410/03_MELMB確認結果_KLZB1-17345" xr:uid="{9CE0204B-EA7D-4508-9560-C217C7006C59}"/>
    <hyperlink ref="C60" r:id="rId5" display="../../自調_24-08-SUS-30AA HL LH 全不灯_20240425/03_MELMB確認結果_KLZB1-17354" xr:uid="{35CFBC22-275A-40F8-A98C-2F7D479E7153}"/>
    <hyperlink ref="C61" r:id="rId6" display="../../自調_24-09-SUS-30AA HL RH 電源異常,B276E_20240412/03_MELMB確認結果_17363" xr:uid="{F1E2C834-C305-4EED-9145-68266C89F569}"/>
    <hyperlink ref="C63" r:id="rId7" display="../../自調_24-11-SUS-30AA HL LH Lo不灯,LET BCAN_DTC_20240505/03_MELMB確認結果_KLZB1-17370" xr:uid="{9C8C7233-86F8-4167-9077-D32A9C3D6873}"/>
    <hyperlink ref="C65" r:id="rId8" display="../../自調_24-14-SUS-3A0 HL RH –HL INOP_20240514/03_MELMB確認結果" xr:uid="{674B9CA2-9216-4E28-BDAF-FCA8616E909F}"/>
    <hyperlink ref="C66" r:id="rId9" display="../../自調_24-15-SUS-3A0 HL LH – Turn Signal INOP_20240517" xr:uid="{11FAF90A-DB84-48F6-83B6-BF357812C2D8}"/>
    <hyperlink ref="C67" r:id="rId10" display="../../自調_24-16-SUS-3A0 HL LH –NO LIGHT FUNCTIONTurn_20240626" xr:uid="{5460F780-38EB-4359-9419-A9BB2D87A5A8}"/>
    <hyperlink ref="C68" r:id="rId11" display="../../自調_24-17-SUS-30A HL LH –Low Beam no function_20240615" xr:uid="{B4D1BD6D-A00B-411F-8547-3FF33FA45FD1}"/>
    <hyperlink ref="C69" r:id="rId12" display="../../自調_24-18-SUS-30A HL RH –Low Beam no function_20240612" xr:uid="{C633F284-4578-440E-B5E3-0FC640AA6D16}"/>
    <hyperlink ref="C48" r:id="rId13" display="../../../../028_市場不具合(安部係長)/01_自動車/自調_24-00-SUS-_30AA HL LH 全不灯_ 不明" xr:uid="{16EF1338-17B4-4A8F-A087-D436DDD5297B}"/>
    <hyperlink ref="C5" r:id="rId14" display="\\fshad03\2d00\2022\品保部\2D40_自保証\99_個人フォルダ\世古\不具合一時ファイル\LCM,LDM不具合緊急対策ﾁｰﾑ\3A0A_LCM起因の不灯\221120\三菱資料" xr:uid="{A26B239B-C6AB-4E08-B1FF-825FDD745373}"/>
    <hyperlink ref="C6" r:id="rId15" display="\\fshad03\2d00\継続\その他\LCM不具合\3A0A\MELCO_定例\20230206" xr:uid="{6CFBEF93-C00B-4745-B3E2-0BF5C2148B77}"/>
    <hyperlink ref="C7" r:id="rId16" display="\\fshad03\2d00\継続\その他\LCM不具合\3A0A\SUS" xr:uid="{AAB714E8-482A-429A-B9C0-D652BA911AA7}"/>
    <hyperlink ref="C8" r:id="rId17" display="\\fshad03\2d00\継続\その他\LCM不具合\3A0A\SUS\SUS不具合\工程内不良_20230206_未報告_現品受理" xr:uid="{9101C69A-F699-40C1-8448-C68E555CDAE5}"/>
    <hyperlink ref="C9" r:id="rId18" display="\\fshad03\2d00\継続\その他\LCM不具合\3A0A\SUS\SUS不具合\工程内不良_異常なし" xr:uid="{3A9A301B-6D2C-46A1-9A48-F2E237DA895B}"/>
    <hyperlink ref="C10" r:id="rId19" display="\\fshad03\2d00\継続\その他\LCM不具合\3A0A\SUS\SUS不具合\MELCO回答" xr:uid="{F215A03C-D281-4FB2-A291-9BA2C72F5B68}"/>
    <hyperlink ref="C13" r:id="rId20" display="\\fshad03\2d00\2024\調品質\3R70_調品質\11.購入部品不具合データ\②回収詳細データ\2023年\1月\SUS\三菱電気アメリカ\報告書\RFI_工程内_再現せず" xr:uid="{9CEB67D7-06B2-45EE-A2E4-C31F4C5E7DAE}"/>
    <hyperlink ref="C14" r:id="rId21" display="\\fshad03\2d00\2024\調品質\3R70_調品質\11.購入部品不具合データ\②回収詳細データ\2023年\1月\SUS\三菱電気アメリカ\報告書\RFI_工程内_再現せず" xr:uid="{850594F4-7FAF-40D4-B4C0-8692FB8B7E9F}"/>
    <hyperlink ref="C15:C16" r:id="rId22" display="\\fshad03\2d00\2024\調品質\3R70_調品質\11.購入部品不具合データ\②回収詳細データ\2023年\2月\SUS\三菱電機報告書" xr:uid="{A61B458D-7D0F-4256-8DEA-1DFE39372C6D}"/>
    <hyperlink ref="C21" r:id="rId23" display="\\fshad03\2d00\継続\その他\LCM不具合\3A0A\MELCO_定例\20230704" xr:uid="{F2029367-D444-4B5D-AEB7-6CE7834CD8B5}"/>
    <hyperlink ref="C18" r:id="rId24" display="\\fshad03\2d00\2024\調品質\3R70_調品質\11.購入部品不具合データ\②回収詳細データ\2023年\1月\SUS\三菱電気アメリカ\報告書\200230327" xr:uid="{25DEBDDE-F585-4EBF-9A65-FC5EBCD6BD7D}"/>
    <hyperlink ref="C25" r:id="rId25" display="\\fshad03\2d00\継続\その他\LCM不具合\3A0A\MELCO_定例\20230704" xr:uid="{F09700DB-84AC-4EA5-A494-D00E96E956F2}"/>
    <hyperlink ref="C31" r:id="rId26" display="\\fshad03\2d00\継続\その他\LCM不具合\3A0A\MELCO_定例\20230704" xr:uid="{81679AE0-59E4-4CF4-9CC8-02F191D30A8B}"/>
    <hyperlink ref="C22" r:id="rId27" display="\\fshad03\2d00\2024\調品質\3R70_調品質\11.購入部品不具合データ\②回収詳細データ\2022年\12月\SUS\三菱電機アメリカ\報告書\20230804" xr:uid="{C4E04B3C-0950-48D4-BA8B-F528E4ADEE72}"/>
    <hyperlink ref="C23" r:id="rId28" display="\\fshad03\2d00\2024\調品質\3R70_調品質\11.購入部品不具合データ\②回収詳細データ\2022年\12月\SUS\三菱電機アメリカ\報告書\20230516" xr:uid="{5059B80B-AF4A-46E7-ACA6-20495C26F48B}"/>
    <hyperlink ref="C28" r:id="rId29" display="\\fshad03\2d00\2024\調品質\3R70_調品質\11.購入部品不具合データ\②回収詳細データ\2022年\12月\SUS\三菱電機アメリカ\報告書\20230804" xr:uid="{41598D54-EF96-495E-9197-284CE6C770F0}"/>
    <hyperlink ref="C30" r:id="rId30" display="\\fshad03\2d00\2024\調品質\3R70_調品質\11.購入部品不具合データ\②回収詳細データ\2022年\12月\SUS\三菱電機アメリカ\報告書\20230804" xr:uid="{881D4A14-00D0-42A8-ADB1-D7FE8D6FDB58}"/>
    <hyperlink ref="C27" r:id="rId31" display="\\fshad03\2d00\2024\調品質\3R70_調品質\11.購入部品不具合データ\②回収詳細データ\2022年\12月\SUS\三菱電機アメリカ\報告書\20230804" xr:uid="{6C76EAF0-7D65-4C7F-9378-DD98FFEF549E}"/>
    <hyperlink ref="C32" r:id="rId32" display="\\fshad03\2d00\2024\調品質\3R70_調品質\11.購入部品不具合データ\②回収詳細データ\2022年\12月\SUS\三菱電機アメリカ\報告書\20230804" xr:uid="{E50577F7-53A9-49B5-923F-0E6E83CF2EDF}"/>
    <hyperlink ref="C33" r:id="rId33" display="\\fshad03\2d00\2024\調品質\3R70_調品質\11.購入部品不具合データ\②回収詳細データ\2022年\12月\SUS\三菱電機アメリカ\報告書\20230804" xr:uid="{29234D0E-4A2E-4193-A694-C7EEA9ED07C2}"/>
    <hyperlink ref="C34" r:id="rId34" display="\\fshad03\2d00\2024\調品質\3R70_調品質\11.購入部品不具合データ\②回収詳細データ\2022年\12月\SUS\三菱電機アメリカ\報告書\20231031" xr:uid="{13348CCA-907C-47E4-8F63-08276B4AE3B4}"/>
    <hyperlink ref="C43" r:id="rId35" display="\\fshad03\2d00\2024\調品質\3R70_調品質\11.購入部品不具合データ\②回収詳細データ\2022年\12月\SUS\三菱電機アメリカ\報告書\20231031" xr:uid="{034A437B-0D59-4E75-8C58-F1CD02DE1C66}"/>
    <hyperlink ref="C35" r:id="rId36" display="\\fshad03\2d00\2024\調品質\3R70_調品質\11.購入部品不具合データ\②回収詳細データ\2022年\12月\SUS\三菱電機アメリカ\報告書\20230920" xr:uid="{F30D236D-C955-4E62-B7EF-0782C5F97927}"/>
    <hyperlink ref="C36" r:id="rId37" display="\\fshad03\2d00\2024\調品質\3R70_調品質\11.購入部品不具合データ\②回収詳細データ\2022年\12月\SUS\三菱電機アメリカ\報告書\20230920" xr:uid="{B303DFA4-E5EE-4C60-9E55-04B371C431E8}"/>
    <hyperlink ref="C37" r:id="rId38" display="\\fshad03\2d00\2024\調品質\3R70_調品質\11.購入部品不具合データ\②回収詳細データ\2022年\12月\SUS\三菱電機アメリカ\報告書\20230920" xr:uid="{872A68F8-117A-4DC3-B0F9-C3E74F303B4F}"/>
    <hyperlink ref="C38" r:id="rId39" display="\\fshad03\2d00\継続\その他\LCM不具合\3A0A\MELCO_定例\20230905" xr:uid="{C390EA86-9D57-4331-BC63-57640912838F}"/>
    <hyperlink ref="C39" r:id="rId40" display="\\fshad03\2d00\2024\調品質\3R70_調品質\11.購入部品不具合データ\②回収詳細データ\2022年\12月\SUS\三菱電機アメリカ\報告書\20240223_SUSへの報告書" xr:uid="{34196D4F-B5EE-404C-A67D-8F7C46DD2010}"/>
    <hyperlink ref="C40" r:id="rId41" display="\\fshad03\2d00\2024\調品質\3R70_調品質\11.購入部品不具合データ\②回収詳細データ\2022年\12月\SUS\三菱電機アメリカ\報告書\20231030" xr:uid="{A6CF785B-9CDF-424E-9FC1-D4DC6CF9E3F2}"/>
    <hyperlink ref="C41" r:id="rId42" display="\\fshad03\2d00\2024\調品質\3R70_調品質\11.購入部品不具合データ\②回収詳細データ\2022年\12月\SUS\三菱電機アメリカ\報告書\20231030" xr:uid="{1266A00D-C7B4-4289-81F4-1DF7CE7D357F}"/>
    <hyperlink ref="C44" r:id="rId43" display="\\fshad03\2d00\2024\調品質\3R70_調品質\11.購入部品不具合データ\②回収詳細データ\2022年\12月\SUS\三菱電機アメリカ\報告書\20231030" xr:uid="{4BC68BDB-ADF1-4C37-962B-B94E556D7103}"/>
    <hyperlink ref="C45" r:id="rId44" display="\\fshad03\2d00\2024\調品質\3R70_調品質\11.購入部品不具合データ\②回収詳細データ\2022年\12月\SUS\三菱電機アメリカ\報告書\20231018" xr:uid="{2CA2F338-B3B4-411E-B884-4928EBB82F51}"/>
    <hyperlink ref="C46" r:id="rId45" display="\\fshad03\2d00\2024\調品質\3R70_調品質\11.購入部品不具合データ\②回収詳細データ\2022年\12月\SUS\三菱電機アメリカ\報告書\20231018" xr:uid="{6685B2B4-12B8-4A7B-BFA8-65877D3AA3FA}"/>
    <hyperlink ref="C47" r:id="rId46" display="\\fshad03\2d00\2024\調品質\3R70_調品質\11.購入部品不具合データ\②回収詳細データ\2022年\12月\SUS\三菱電機アメリカ\報告書\20231018" xr:uid="{914A694F-2CE7-4F93-B361-3F2616285513}"/>
    <hyperlink ref="C49" r:id="rId47" display="\\fshad03\2d00\2024\品改\3_技検二\03_2D47_電保証係\01_不具合対応\01_三菱電機LCM\03_不具合情報\SOMQMP038406" xr:uid="{B618BCDF-7078-4673-8C3D-164DD3B3E734}"/>
    <hyperlink ref="C50" r:id="rId48" display="\\fshad03\2d00\2024\品改\3_技検二\03_2D47_電保証係\01_不具合対応\01_三菱電機LCM\03_不具合情報\SOMQMP048395" xr:uid="{1EB7A709-3343-4762-928D-8B38B86A14A7}"/>
    <hyperlink ref="C56" r:id="rId49" display="\\fshad03\2d00\2024\調品質\3R70_調品質\11.購入部品不具合データ\②回収詳細データ\2022年\12月\SUS\三菱電機アメリカ\報告書\20240404" xr:uid="{DDABA726-397E-470E-B8F4-0CFBC2C3678D}"/>
    <hyperlink ref="C57" r:id="rId50" display="\\fshad03\2d00\2024\調品質\3R70_調品質\11.購入部品不具合データ\②回収詳細データ\2022年\12月\SUS\三菱電機アメリカ\報告書\20240416" xr:uid="{92C0E676-14D4-46E8-AE51-06B058A823FF}"/>
    <hyperlink ref="C55" r:id="rId51" display="\\fshad03\2d00\2024\品改\3_技検二\03_2D47_電保証係\01_不具合対応\01_三菱電機LCM\02_メルコ報告書" xr:uid="{C58D68AD-1B6A-4CB9-B618-D6FB14667E4E}"/>
    <hyperlink ref="C97" r:id="rId52" display="../../自調_24-24-SUS-3A0  HL  –  不灯 _20240809" xr:uid="{123EB7B9-F5C2-4A0D-839E-FF2FCB795EE1}"/>
    <hyperlink ref="C98" r:id="rId53" display="../../自調_24-25-SUS-3A0  HL RH All lighting functions INOP –  不灯 _20240917" xr:uid="{3E370414-EEE9-4DCD-8076-95F57C6FB763}"/>
    <hyperlink ref="C99" r:id="rId54" display="../../自調_24-25-SUS-3A0  HL RH All lighting functions INOP –  不灯 _20240917" xr:uid="{8872CF22-DAC1-4749-86E9-2B2104A4B3DC}"/>
    <hyperlink ref="C100" r:id="rId55" display="../../../../027_工程内不良(川口)/01_自動車/06_SUS/自調_25-01-SUS-30A HL RH – Low Beam Stays On When Turned Off_250109" xr:uid="{6DB84ADD-2DF4-4864-AC4F-182E8A74CE02}"/>
    <hyperlink ref="C101" r:id="rId56" display="../../自調_25-01-SUS-3A0  HL RH 3A0 HL LoHi 不灯 _20250411" xr:uid="{B8C678AE-2E1B-4BFB-9772-313273C7B055}"/>
    <hyperlink ref="C103" r:id="rId57" display="../../自調_25-03-SUS-3A0 HL RH -HL INOP_ 20250520" xr:uid="{28C1B3BC-2795-47C6-BF79-6BBB275472B6}"/>
    <hyperlink ref="C102" r:id="rId58" display="../../自調_25-02-SUS-30A HL LH – INOP DRL &amp; FRONT TURN_20250516" xr:uid="{0B86A374-E941-4B37-AC84-E6539486A449}"/>
    <hyperlink ref="C104" r:id="rId59" display="..\..\自調_25-04-SUS-3A0 HL LH -HL INOP_ 20250611" xr:uid="{94C726E8-C429-4400-9FE6-DA0F5F6CB462}"/>
    <hyperlink ref="C105" r:id="rId60" display="..\..\自調_25-05-SUS-3A0 HL LH -HL INOP_ 20240707" xr:uid="{846E4C72-A2C1-4016-AFF1-0957A92B70DA}"/>
    <hyperlink ref="C106" r:id="rId61" display="..\..\自調_25-06-SUS-3A0 HL RH -HL INOP_ 20230620" xr:uid="{B773E3E0-7A62-4277-9171-ABDFEDACA032}"/>
  </hyperlinks>
  <pageMargins left="0.70866141732283472" right="0.70866141732283472" top="0.74803149606299213" bottom="0.74803149606299213" header="0.31496062992125984" footer="0.31496062992125984"/>
  <pageSetup paperSize="8" scale="29" fitToHeight="0" orientation="landscape" r:id="rId62"/>
  <colBreaks count="1" manualBreakCount="1">
    <brk id="32" max="1048575" man="1"/>
  </colBreaks>
  <legacyDrawing r:id="rId63"/>
  <tableParts count="1">
    <tablePart r:id="rId6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8CAAD-FF40-44E5-B67D-8C10D571BD56}">
  <sheetPr codeName="Sheet3"/>
  <dimension ref="A2:F48"/>
  <sheetViews>
    <sheetView topLeftCell="A28" workbookViewId="0">
      <selection activeCell="E44" sqref="E44"/>
    </sheetView>
  </sheetViews>
  <sheetFormatPr defaultRowHeight="18" x14ac:dyDescent="0.55000000000000004"/>
  <cols>
    <col min="1" max="1" width="14.83203125" bestFit="1" customWidth="1"/>
    <col min="2" max="2" width="17" bestFit="1" customWidth="1"/>
    <col min="3" max="3" width="18" customWidth="1"/>
    <col min="4" max="4" width="16.58203125" bestFit="1" customWidth="1"/>
    <col min="5" max="5" width="133.83203125" bestFit="1" customWidth="1"/>
  </cols>
  <sheetData>
    <row r="2" spans="1:6" x14ac:dyDescent="0.55000000000000004">
      <c r="A2" t="s">
        <v>591</v>
      </c>
      <c r="B2" t="s">
        <v>872</v>
      </c>
    </row>
    <row r="3" spans="1:6" x14ac:dyDescent="0.55000000000000004">
      <c r="A3" t="s">
        <v>856</v>
      </c>
    </row>
    <row r="4" spans="1:6" x14ac:dyDescent="0.55000000000000004">
      <c r="A4" s="50" t="s">
        <v>0</v>
      </c>
      <c r="B4" s="51" t="s">
        <v>132</v>
      </c>
      <c r="C4" s="51" t="s">
        <v>579</v>
      </c>
      <c r="D4" s="51" t="s">
        <v>135</v>
      </c>
      <c r="E4" s="54" t="s">
        <v>133</v>
      </c>
    </row>
    <row r="5" spans="1:6" x14ac:dyDescent="0.55000000000000004">
      <c r="A5" s="52" t="s">
        <v>15</v>
      </c>
      <c r="B5" s="55">
        <v>44972</v>
      </c>
      <c r="C5" s="55">
        <v>45006</v>
      </c>
      <c r="D5" s="61" t="s">
        <v>165</v>
      </c>
      <c r="E5" s="56" t="s">
        <v>580</v>
      </c>
      <c r="F5" s="18"/>
    </row>
    <row r="6" spans="1:6" x14ac:dyDescent="0.55000000000000004">
      <c r="A6" s="52" t="s">
        <v>15</v>
      </c>
      <c r="B6" s="55">
        <v>45007</v>
      </c>
      <c r="C6" s="55">
        <v>45028</v>
      </c>
      <c r="D6" s="61" t="s">
        <v>164</v>
      </c>
      <c r="E6" s="56" t="s">
        <v>581</v>
      </c>
      <c r="F6" s="18"/>
    </row>
    <row r="7" spans="1:6" x14ac:dyDescent="0.55000000000000004">
      <c r="A7" s="52" t="s">
        <v>15</v>
      </c>
      <c r="B7" s="55">
        <v>45029</v>
      </c>
      <c r="C7" s="55">
        <v>45071</v>
      </c>
      <c r="D7" s="18" t="s">
        <v>167</v>
      </c>
      <c r="E7" s="56" t="s">
        <v>582</v>
      </c>
      <c r="F7" s="18"/>
    </row>
    <row r="8" spans="1:6" ht="17.149999999999999" customHeight="1" x14ac:dyDescent="0.55000000000000004">
      <c r="A8" s="52" t="s">
        <v>15</v>
      </c>
      <c r="B8" s="55">
        <v>45072</v>
      </c>
      <c r="C8" s="55">
        <v>45138</v>
      </c>
      <c r="D8" s="18" t="s">
        <v>166</v>
      </c>
      <c r="E8" s="56" t="s">
        <v>583</v>
      </c>
      <c r="F8" s="18"/>
    </row>
    <row r="9" spans="1:6" x14ac:dyDescent="0.55000000000000004">
      <c r="A9" s="52" t="s">
        <v>15</v>
      </c>
      <c r="B9" s="55">
        <v>45139</v>
      </c>
      <c r="C9" s="55">
        <v>45195</v>
      </c>
      <c r="D9" s="61" t="s">
        <v>168</v>
      </c>
      <c r="E9" s="56" t="s">
        <v>584</v>
      </c>
      <c r="F9" s="18"/>
    </row>
    <row r="10" spans="1:6" x14ac:dyDescent="0.55000000000000004">
      <c r="A10" s="52" t="s">
        <v>15</v>
      </c>
      <c r="B10" s="55">
        <v>45196</v>
      </c>
      <c r="C10" s="55">
        <v>45212</v>
      </c>
      <c r="D10" s="62" t="s">
        <v>585</v>
      </c>
      <c r="E10" s="56" t="s">
        <v>586</v>
      </c>
      <c r="F10" s="18"/>
    </row>
    <row r="11" spans="1:6" x14ac:dyDescent="0.55000000000000004">
      <c r="A11" s="52" t="s">
        <v>15</v>
      </c>
      <c r="B11" s="55">
        <v>45213</v>
      </c>
      <c r="C11" s="55">
        <v>45343</v>
      </c>
      <c r="D11" s="61" t="s">
        <v>162</v>
      </c>
      <c r="E11" s="56" t="s">
        <v>130</v>
      </c>
      <c r="F11" s="18"/>
    </row>
    <row r="12" spans="1:6" x14ac:dyDescent="0.55000000000000004">
      <c r="A12" s="52" t="s">
        <v>15</v>
      </c>
      <c r="B12" s="55">
        <v>45344</v>
      </c>
      <c r="C12" s="55">
        <v>45406</v>
      </c>
      <c r="D12" s="63" t="s">
        <v>163</v>
      </c>
      <c r="E12" s="56" t="s">
        <v>131</v>
      </c>
      <c r="F12" s="18"/>
    </row>
    <row r="13" spans="1:6" x14ac:dyDescent="0.55000000000000004">
      <c r="A13" s="52" t="s">
        <v>15</v>
      </c>
      <c r="B13" s="55">
        <v>45407</v>
      </c>
      <c r="C13" s="55">
        <v>45459</v>
      </c>
      <c r="D13" s="63" t="s">
        <v>589</v>
      </c>
      <c r="E13" s="57" t="s">
        <v>134</v>
      </c>
      <c r="F13" s="18"/>
    </row>
    <row r="14" spans="1:6" x14ac:dyDescent="0.55000000000000004">
      <c r="A14" s="58" t="s">
        <v>15</v>
      </c>
      <c r="B14" s="59">
        <v>45459</v>
      </c>
      <c r="C14" s="59">
        <v>45535</v>
      </c>
      <c r="D14" s="64" t="s">
        <v>590</v>
      </c>
      <c r="E14" s="68" t="s">
        <v>638</v>
      </c>
    </row>
    <row r="15" spans="1:6" x14ac:dyDescent="0.55000000000000004">
      <c r="A15" s="58" t="s">
        <v>15</v>
      </c>
      <c r="B15" s="59">
        <v>45535</v>
      </c>
      <c r="C15" s="59">
        <v>45602</v>
      </c>
      <c r="D15" s="64" t="s">
        <v>857</v>
      </c>
      <c r="E15" s="68" t="s">
        <v>858</v>
      </c>
    </row>
    <row r="16" spans="1:6" x14ac:dyDescent="0.55000000000000004">
      <c r="A16" s="58" t="s">
        <v>15</v>
      </c>
      <c r="B16" s="59">
        <v>45603</v>
      </c>
      <c r="C16" s="59">
        <v>45617</v>
      </c>
      <c r="D16" s="64" t="s">
        <v>887</v>
      </c>
      <c r="E16" s="68" t="s">
        <v>888</v>
      </c>
    </row>
    <row r="17" spans="1:6" x14ac:dyDescent="0.55000000000000004">
      <c r="A17" s="58" t="s">
        <v>15</v>
      </c>
      <c r="B17" s="59">
        <v>45618</v>
      </c>
      <c r="C17" s="59">
        <v>45665</v>
      </c>
      <c r="D17" s="64" t="s">
        <v>889</v>
      </c>
      <c r="E17" s="68" t="s">
        <v>890</v>
      </c>
    </row>
    <row r="18" spans="1:6" x14ac:dyDescent="0.55000000000000004">
      <c r="A18" s="58" t="s">
        <v>15</v>
      </c>
      <c r="B18" s="59">
        <v>45666</v>
      </c>
      <c r="C18" s="59">
        <f ca="1">TODAY()+2</f>
        <v>45875</v>
      </c>
      <c r="D18" s="64" t="s">
        <v>930</v>
      </c>
      <c r="E18" s="68" t="s">
        <v>929</v>
      </c>
    </row>
    <row r="19" spans="1:6" x14ac:dyDescent="0.55000000000000004">
      <c r="B19" s="186"/>
      <c r="C19" s="186"/>
      <c r="D19" s="187"/>
      <c r="E19" s="188"/>
    </row>
    <row r="20" spans="1:6" x14ac:dyDescent="0.55000000000000004">
      <c r="A20" t="s">
        <v>871</v>
      </c>
      <c r="B20" s="186"/>
      <c r="C20" s="186"/>
      <c r="D20" s="187"/>
      <c r="E20" s="188"/>
    </row>
    <row r="21" spans="1:6" x14ac:dyDescent="0.55000000000000004">
      <c r="A21" s="52" t="s">
        <v>15</v>
      </c>
      <c r="B21" s="55">
        <v>45213</v>
      </c>
      <c r="C21" s="55">
        <v>45224</v>
      </c>
      <c r="D21" s="63" t="s">
        <v>587</v>
      </c>
      <c r="E21" s="57" t="s">
        <v>588</v>
      </c>
      <c r="F21" s="18"/>
    </row>
    <row r="22" spans="1:6" x14ac:dyDescent="0.55000000000000004">
      <c r="B22" s="186"/>
      <c r="C22" s="186"/>
      <c r="D22" s="187"/>
      <c r="E22" s="188"/>
    </row>
    <row r="23" spans="1:6" x14ac:dyDescent="0.55000000000000004">
      <c r="B23" s="186"/>
      <c r="C23" s="186"/>
      <c r="D23" s="187"/>
      <c r="E23" s="188"/>
    </row>
    <row r="25" spans="1:6" x14ac:dyDescent="0.55000000000000004">
      <c r="A25" t="s">
        <v>593</v>
      </c>
      <c r="B25" t="s">
        <v>594</v>
      </c>
    </row>
    <row r="26" spans="1:6" x14ac:dyDescent="0.55000000000000004">
      <c r="A26" s="19" t="s">
        <v>141</v>
      </c>
      <c r="B26" s="19" t="s">
        <v>1</v>
      </c>
    </row>
    <row r="27" spans="1:6" x14ac:dyDescent="0.55000000000000004">
      <c r="A27" s="19" t="s">
        <v>138</v>
      </c>
      <c r="B27" s="20" t="s">
        <v>137</v>
      </c>
    </row>
    <row r="28" spans="1:6" x14ac:dyDescent="0.55000000000000004">
      <c r="A28" s="19" t="s">
        <v>993</v>
      </c>
      <c r="B28" s="20" t="s">
        <v>137</v>
      </c>
    </row>
    <row r="29" spans="1:6" x14ac:dyDescent="0.55000000000000004">
      <c r="A29" s="19" t="s">
        <v>993</v>
      </c>
      <c r="B29" s="20" t="s">
        <v>137</v>
      </c>
    </row>
    <row r="30" spans="1:6" x14ac:dyDescent="0.55000000000000004">
      <c r="A30" s="19" t="s">
        <v>595</v>
      </c>
      <c r="B30" s="20" t="s">
        <v>137</v>
      </c>
      <c r="C30" t="s">
        <v>994</v>
      </c>
    </row>
    <row r="31" spans="1:6" x14ac:dyDescent="0.55000000000000004">
      <c r="A31" s="19" t="s">
        <v>995</v>
      </c>
      <c r="B31" s="20" t="s">
        <v>996</v>
      </c>
      <c r="C31" t="s">
        <v>997</v>
      </c>
    </row>
    <row r="32" spans="1:6" x14ac:dyDescent="0.55000000000000004">
      <c r="A32" s="19" t="s">
        <v>998</v>
      </c>
      <c r="B32" s="20" t="s">
        <v>999</v>
      </c>
      <c r="C32" t="s">
        <v>1000</v>
      </c>
    </row>
    <row r="33" spans="1:3" x14ac:dyDescent="0.55000000000000004">
      <c r="A33" s="19" t="s">
        <v>596</v>
      </c>
      <c r="B33" s="20" t="s">
        <v>1001</v>
      </c>
    </row>
    <row r="34" spans="1:3" x14ac:dyDescent="0.55000000000000004">
      <c r="A34" s="19" t="s">
        <v>597</v>
      </c>
      <c r="B34" s="20" t="s">
        <v>598</v>
      </c>
    </row>
    <row r="35" spans="1:3" x14ac:dyDescent="0.55000000000000004">
      <c r="A35" s="19" t="s">
        <v>1002</v>
      </c>
      <c r="B35" s="20" t="s">
        <v>1003</v>
      </c>
    </row>
    <row r="36" spans="1:3" x14ac:dyDescent="0.55000000000000004">
      <c r="A36" s="19" t="s">
        <v>1004</v>
      </c>
      <c r="B36" s="20" t="s">
        <v>1005</v>
      </c>
    </row>
    <row r="37" spans="1:3" x14ac:dyDescent="0.55000000000000004">
      <c r="A37" s="19" t="s">
        <v>1006</v>
      </c>
      <c r="B37" s="20" t="s">
        <v>1007</v>
      </c>
    </row>
    <row r="38" spans="1:3" x14ac:dyDescent="0.55000000000000004">
      <c r="A38" s="19" t="s">
        <v>1008</v>
      </c>
      <c r="B38" s="20" t="s">
        <v>1009</v>
      </c>
    </row>
    <row r="39" spans="1:3" x14ac:dyDescent="0.55000000000000004">
      <c r="A39" s="19" t="s">
        <v>174</v>
      </c>
      <c r="B39" s="20" t="s">
        <v>1010</v>
      </c>
      <c r="C39" t="s">
        <v>1011</v>
      </c>
    </row>
    <row r="40" spans="1:3" x14ac:dyDescent="0.55000000000000004">
      <c r="A40" s="19" t="s">
        <v>1012</v>
      </c>
      <c r="B40" s="20" t="s">
        <v>1010</v>
      </c>
    </row>
    <row r="41" spans="1:3" x14ac:dyDescent="0.55000000000000004">
      <c r="A41" s="19" t="s">
        <v>1013</v>
      </c>
      <c r="B41" s="20" t="s">
        <v>1014</v>
      </c>
    </row>
    <row r="42" spans="1:3" x14ac:dyDescent="0.55000000000000004">
      <c r="A42" s="19" t="s">
        <v>1015</v>
      </c>
      <c r="B42" s="20" t="s">
        <v>1016</v>
      </c>
    </row>
    <row r="43" spans="1:3" x14ac:dyDescent="0.55000000000000004">
      <c r="A43" s="19" t="s">
        <v>599</v>
      </c>
      <c r="B43" s="20" t="s">
        <v>600</v>
      </c>
      <c r="C43" t="s">
        <v>1017</v>
      </c>
    </row>
    <row r="44" spans="1:3" x14ac:dyDescent="0.55000000000000004">
      <c r="A44" s="19" t="s">
        <v>1018</v>
      </c>
      <c r="B44" s="20" t="s">
        <v>600</v>
      </c>
    </row>
    <row r="45" spans="1:3" x14ac:dyDescent="0.55000000000000004">
      <c r="A45" s="19" t="s">
        <v>601</v>
      </c>
      <c r="B45" s="20" t="s">
        <v>602</v>
      </c>
    </row>
    <row r="46" spans="1:3" x14ac:dyDescent="0.55000000000000004">
      <c r="A46" s="19" t="s">
        <v>1019</v>
      </c>
      <c r="B46" s="20" t="s">
        <v>1020</v>
      </c>
    </row>
    <row r="47" spans="1:3" x14ac:dyDescent="0.55000000000000004">
      <c r="A47" s="19" t="s">
        <v>1021</v>
      </c>
      <c r="B47" s="20" t="s">
        <v>1022</v>
      </c>
    </row>
    <row r="48" spans="1:3" x14ac:dyDescent="0.55000000000000004">
      <c r="A48" s="19" t="s">
        <v>603</v>
      </c>
      <c r="B48" s="20" t="s">
        <v>604</v>
      </c>
      <c r="C48" t="s">
        <v>603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44A96-5514-492C-86BD-EA300E817B98}">
  <sheetPr codeName="Sheet10">
    <tabColor rgb="FFFFC000"/>
    <pageSetUpPr fitToPage="1"/>
  </sheetPr>
  <dimension ref="B1:T41"/>
  <sheetViews>
    <sheetView tabSelected="1" workbookViewId="0">
      <selection activeCell="H26" sqref="H26"/>
    </sheetView>
  </sheetViews>
  <sheetFormatPr defaultColWidth="8.58203125" defaultRowHeight="14.15" customHeight="1" x14ac:dyDescent="0.55000000000000004"/>
  <cols>
    <col min="1" max="1" width="4.33203125" style="70" customWidth="1"/>
    <col min="2" max="2" width="3.5" style="70" customWidth="1"/>
    <col min="3" max="3" width="13.58203125" style="70" bestFit="1" customWidth="1"/>
    <col min="4" max="4" width="18.08203125" style="70" bestFit="1" customWidth="1"/>
    <col min="5" max="5" width="6.58203125" style="70" customWidth="1"/>
    <col min="6" max="6" width="14.33203125" style="70" customWidth="1"/>
    <col min="7" max="7" width="5.83203125" style="70" customWidth="1"/>
    <col min="8" max="8" width="10.08203125" style="70" bestFit="1" customWidth="1"/>
    <col min="9" max="9" width="7.08203125" style="70" customWidth="1"/>
    <col min="10" max="10" width="11.33203125" style="70" bestFit="1" customWidth="1"/>
    <col min="11" max="11" width="19.08203125" style="71" customWidth="1"/>
    <col min="12" max="12" width="10.08203125" style="70" bestFit="1" customWidth="1"/>
    <col min="13" max="13" width="16.83203125" style="70" customWidth="1"/>
    <col min="14" max="14" width="13.83203125" style="70" customWidth="1"/>
    <col min="15" max="16" width="14.33203125" style="70" customWidth="1"/>
    <col min="17" max="17" width="9.58203125" style="70" bestFit="1" customWidth="1"/>
    <col min="18" max="18" width="8.5" style="70" bestFit="1" customWidth="1"/>
    <col min="19" max="19" width="8.58203125" style="70" bestFit="1" customWidth="1"/>
    <col min="20" max="16384" width="8.58203125" style="70"/>
  </cols>
  <sheetData>
    <row r="1" spans="2:19" ht="14.15" customHeight="1" x14ac:dyDescent="0.55000000000000004">
      <c r="B1" s="244">
        <v>45870</v>
      </c>
    </row>
    <row r="2" spans="2:19" ht="14.15" customHeight="1" x14ac:dyDescent="0.55000000000000004">
      <c r="B2" s="69" t="s">
        <v>651</v>
      </c>
      <c r="F2"/>
      <c r="J2" s="230" t="s">
        <v>1023</v>
      </c>
      <c r="M2"/>
      <c r="N2"/>
      <c r="O2"/>
      <c r="P2"/>
      <c r="Q2"/>
    </row>
    <row r="3" spans="2:19" ht="14.15" customHeight="1" x14ac:dyDescent="0.55000000000000004">
      <c r="F3"/>
      <c r="K3" s="70"/>
      <c r="M3"/>
      <c r="N3"/>
      <c r="O3"/>
      <c r="P3"/>
      <c r="Q3"/>
    </row>
    <row r="4" spans="2:19" ht="50" x14ac:dyDescent="0.55000000000000004">
      <c r="B4" s="72" t="s">
        <v>652</v>
      </c>
      <c r="C4" s="73" t="s">
        <v>653</v>
      </c>
      <c r="D4" s="73" t="s">
        <v>654</v>
      </c>
      <c r="E4" s="72" t="s">
        <v>655</v>
      </c>
      <c r="F4" s="72" t="s">
        <v>656</v>
      </c>
      <c r="G4" s="73" t="s">
        <v>657</v>
      </c>
      <c r="H4" s="72" t="s">
        <v>658</v>
      </c>
      <c r="I4" s="72" t="s">
        <v>659</v>
      </c>
      <c r="J4" s="72" t="s">
        <v>660</v>
      </c>
      <c r="K4" s="72" t="s">
        <v>661</v>
      </c>
      <c r="L4" s="72" t="s">
        <v>662</v>
      </c>
      <c r="M4" s="74" t="s">
        <v>663</v>
      </c>
      <c r="N4" s="74" t="s">
        <v>663</v>
      </c>
      <c r="O4" s="72" t="s">
        <v>656</v>
      </c>
      <c r="P4" s="74" t="s">
        <v>664</v>
      </c>
      <c r="Q4" s="74" t="s">
        <v>665</v>
      </c>
      <c r="R4" s="74" t="s">
        <v>666</v>
      </c>
      <c r="S4" s="74" t="s">
        <v>667</v>
      </c>
    </row>
    <row r="5" spans="2:19" ht="14.15" customHeight="1" x14ac:dyDescent="0.3">
      <c r="B5" s="75">
        <v>8</v>
      </c>
      <c r="C5" s="76" t="s">
        <v>668</v>
      </c>
      <c r="D5" s="77" t="s">
        <v>669</v>
      </c>
      <c r="E5" s="78" t="s">
        <v>670</v>
      </c>
      <c r="F5" s="79" t="s">
        <v>671</v>
      </c>
      <c r="G5" s="76" t="s">
        <v>672</v>
      </c>
      <c r="H5" s="80" t="s">
        <v>673</v>
      </c>
      <c r="I5" s="80" t="s">
        <v>674</v>
      </c>
      <c r="J5" s="233">
        <v>8482901302</v>
      </c>
      <c r="K5" s="233" t="s">
        <v>675</v>
      </c>
      <c r="L5" s="83" t="s">
        <v>676</v>
      </c>
      <c r="M5" s="84" t="s">
        <v>677</v>
      </c>
      <c r="N5" s="84" t="s">
        <v>677</v>
      </c>
      <c r="O5" s="85" t="s">
        <v>671</v>
      </c>
      <c r="P5" s="86" t="s">
        <v>678</v>
      </c>
      <c r="Q5" s="87" t="s">
        <v>679</v>
      </c>
      <c r="R5" s="88">
        <v>296.83333333333331</v>
      </c>
      <c r="S5" s="89">
        <f t="shared" ref="S5:S32" si="0">R5*12</f>
        <v>3562</v>
      </c>
    </row>
    <row r="6" spans="2:19" ht="14.15" customHeight="1" x14ac:dyDescent="0.3">
      <c r="B6" s="90">
        <v>9</v>
      </c>
      <c r="C6" s="91" t="s">
        <v>680</v>
      </c>
      <c r="D6" s="92" t="s">
        <v>681</v>
      </c>
      <c r="E6" s="93" t="s">
        <v>670</v>
      </c>
      <c r="F6" s="94" t="s">
        <v>682</v>
      </c>
      <c r="G6" s="91" t="s">
        <v>672</v>
      </c>
      <c r="H6" s="95" t="s">
        <v>673</v>
      </c>
      <c r="I6" s="95" t="s">
        <v>683</v>
      </c>
      <c r="J6" s="133">
        <v>3717297900</v>
      </c>
      <c r="K6" s="133" t="s">
        <v>684</v>
      </c>
      <c r="L6" s="98" t="s">
        <v>676</v>
      </c>
      <c r="M6" s="99" t="s">
        <v>677</v>
      </c>
      <c r="N6" s="99" t="s">
        <v>677</v>
      </c>
      <c r="O6" s="100" t="s">
        <v>682</v>
      </c>
      <c r="P6" s="101" t="s">
        <v>678</v>
      </c>
      <c r="Q6" s="87" t="s">
        <v>679</v>
      </c>
      <c r="R6" s="102">
        <v>21874.333333333332</v>
      </c>
      <c r="S6" s="103">
        <f t="shared" si="0"/>
        <v>262492</v>
      </c>
    </row>
    <row r="7" spans="2:19" ht="14.15" customHeight="1" x14ac:dyDescent="0.3">
      <c r="B7" s="90">
        <v>12</v>
      </c>
      <c r="C7" s="91" t="s">
        <v>685</v>
      </c>
      <c r="D7" s="92" t="s">
        <v>686</v>
      </c>
      <c r="E7" s="93" t="s">
        <v>670</v>
      </c>
      <c r="F7" s="104" t="s">
        <v>687</v>
      </c>
      <c r="G7" s="91" t="s">
        <v>688</v>
      </c>
      <c r="H7" s="95" t="s">
        <v>673</v>
      </c>
      <c r="I7" s="95" t="s">
        <v>674</v>
      </c>
      <c r="J7" s="133" t="s">
        <v>689</v>
      </c>
      <c r="K7" s="133" t="s">
        <v>690</v>
      </c>
      <c r="L7" s="98" t="s">
        <v>691</v>
      </c>
      <c r="M7" s="105" t="s">
        <v>692</v>
      </c>
      <c r="N7" s="105" t="s">
        <v>692</v>
      </c>
      <c r="O7" s="106" t="s">
        <v>687</v>
      </c>
      <c r="P7" s="101" t="s">
        <v>678</v>
      </c>
      <c r="Q7" s="87" t="s">
        <v>679</v>
      </c>
      <c r="R7" s="102">
        <v>17564.333333333332</v>
      </c>
      <c r="S7" s="103">
        <f t="shared" si="0"/>
        <v>210772</v>
      </c>
    </row>
    <row r="8" spans="2:19" ht="14.15" customHeight="1" x14ac:dyDescent="0.3">
      <c r="B8" s="90">
        <v>13</v>
      </c>
      <c r="C8" s="91" t="s">
        <v>693</v>
      </c>
      <c r="D8" s="92" t="s">
        <v>694</v>
      </c>
      <c r="E8" s="93" t="s">
        <v>670</v>
      </c>
      <c r="F8" s="107" t="s">
        <v>695</v>
      </c>
      <c r="G8" s="91" t="s">
        <v>688</v>
      </c>
      <c r="H8" s="95" t="s">
        <v>673</v>
      </c>
      <c r="I8" s="95" t="s">
        <v>32</v>
      </c>
      <c r="J8" s="133">
        <v>2448499802</v>
      </c>
      <c r="K8" s="133" t="s">
        <v>696</v>
      </c>
      <c r="L8" s="98" t="s">
        <v>697</v>
      </c>
      <c r="M8" s="105" t="s">
        <v>692</v>
      </c>
      <c r="N8" s="105" t="s">
        <v>692</v>
      </c>
      <c r="O8" s="108" t="s">
        <v>695</v>
      </c>
      <c r="P8" s="90" t="s">
        <v>698</v>
      </c>
      <c r="Q8" s="87" t="s">
        <v>679</v>
      </c>
      <c r="R8" s="102">
        <v>14840.166666666666</v>
      </c>
      <c r="S8" s="103">
        <f t="shared" si="0"/>
        <v>178082</v>
      </c>
    </row>
    <row r="9" spans="2:19" ht="14.15" customHeight="1" x14ac:dyDescent="0.3">
      <c r="B9" s="90">
        <v>10</v>
      </c>
      <c r="C9" s="91" t="s">
        <v>699</v>
      </c>
      <c r="D9" s="92" t="s">
        <v>700</v>
      </c>
      <c r="E9" s="93" t="s">
        <v>670</v>
      </c>
      <c r="F9" s="109" t="s">
        <v>701</v>
      </c>
      <c r="G9" s="91" t="s">
        <v>672</v>
      </c>
      <c r="H9" s="95" t="s">
        <v>673</v>
      </c>
      <c r="I9" s="95" t="s">
        <v>683</v>
      </c>
      <c r="J9" s="133">
        <v>4110184902</v>
      </c>
      <c r="K9" s="133" t="s">
        <v>702</v>
      </c>
      <c r="L9" s="95" t="s">
        <v>703</v>
      </c>
      <c r="M9" s="99" t="s">
        <v>677</v>
      </c>
      <c r="N9" s="99" t="s">
        <v>677</v>
      </c>
      <c r="O9" s="95" t="s">
        <v>701</v>
      </c>
      <c r="P9" s="110" t="s">
        <v>698</v>
      </c>
      <c r="Q9" s="87" t="s">
        <v>679</v>
      </c>
      <c r="R9" s="102">
        <v>4575.333333333333</v>
      </c>
      <c r="S9" s="103">
        <f t="shared" si="0"/>
        <v>54904</v>
      </c>
    </row>
    <row r="10" spans="2:19" ht="14.15" customHeight="1" x14ac:dyDescent="0.3">
      <c r="B10" s="90">
        <v>20</v>
      </c>
      <c r="C10" s="111" t="s">
        <v>704</v>
      </c>
      <c r="D10" s="112" t="s">
        <v>705</v>
      </c>
      <c r="E10" s="93" t="s">
        <v>670</v>
      </c>
      <c r="F10" s="113" t="s">
        <v>706</v>
      </c>
      <c r="G10" s="111" t="s">
        <v>707</v>
      </c>
      <c r="H10" s="111" t="s">
        <v>673</v>
      </c>
      <c r="I10" s="95" t="s">
        <v>683</v>
      </c>
      <c r="J10" s="232">
        <v>4803011400</v>
      </c>
      <c r="K10" s="133" t="s">
        <v>708</v>
      </c>
      <c r="L10" s="115" t="s">
        <v>709</v>
      </c>
      <c r="M10" s="105" t="s">
        <v>692</v>
      </c>
      <c r="N10" s="105" t="s">
        <v>692</v>
      </c>
      <c r="O10" s="116" t="s">
        <v>706</v>
      </c>
      <c r="P10" s="117" t="s">
        <v>698</v>
      </c>
      <c r="Q10" s="118" t="s">
        <v>710</v>
      </c>
      <c r="R10" s="102">
        <v>833.33333333333337</v>
      </c>
      <c r="S10" s="103">
        <f t="shared" si="0"/>
        <v>10000</v>
      </c>
    </row>
    <row r="11" spans="2:19" ht="14.15" customHeight="1" x14ac:dyDescent="0.3">
      <c r="B11" s="90">
        <v>21</v>
      </c>
      <c r="C11" s="111" t="s">
        <v>704</v>
      </c>
      <c r="D11" s="119"/>
      <c r="E11" s="93" t="s">
        <v>670</v>
      </c>
      <c r="F11" s="120" t="s">
        <v>671</v>
      </c>
      <c r="G11" s="121" t="s">
        <v>711</v>
      </c>
      <c r="H11" s="111" t="s">
        <v>673</v>
      </c>
      <c r="I11" s="95" t="s">
        <v>683</v>
      </c>
      <c r="J11" s="234">
        <v>4877236600</v>
      </c>
      <c r="K11" s="133" t="s">
        <v>712</v>
      </c>
      <c r="L11" s="115" t="s">
        <v>713</v>
      </c>
      <c r="M11" s="105" t="s">
        <v>692</v>
      </c>
      <c r="N11" s="105" t="s">
        <v>692</v>
      </c>
      <c r="O11" s="124" t="s">
        <v>671</v>
      </c>
      <c r="P11" s="117" t="s">
        <v>714</v>
      </c>
      <c r="Q11" s="118" t="s">
        <v>710</v>
      </c>
      <c r="R11" s="102">
        <v>1166.6666666666667</v>
      </c>
      <c r="S11" s="103">
        <f t="shared" si="0"/>
        <v>14000</v>
      </c>
    </row>
    <row r="12" spans="2:19" ht="14.15" customHeight="1" x14ac:dyDescent="0.3">
      <c r="B12" s="90">
        <v>1</v>
      </c>
      <c r="C12" s="91" t="s">
        <v>798</v>
      </c>
      <c r="D12" s="92" t="s">
        <v>700</v>
      </c>
      <c r="E12" s="125" t="s">
        <v>715</v>
      </c>
      <c r="F12" s="109" t="s">
        <v>701</v>
      </c>
      <c r="G12" s="91" t="s">
        <v>716</v>
      </c>
      <c r="H12" s="95" t="s">
        <v>717</v>
      </c>
      <c r="I12" s="95" t="s">
        <v>718</v>
      </c>
      <c r="J12" s="133">
        <v>1480820503</v>
      </c>
      <c r="K12" s="133" t="s">
        <v>719</v>
      </c>
      <c r="L12" s="98" t="s">
        <v>720</v>
      </c>
      <c r="M12" s="99" t="s">
        <v>677</v>
      </c>
      <c r="N12" s="99" t="s">
        <v>677</v>
      </c>
      <c r="O12" s="95" t="s">
        <v>701</v>
      </c>
      <c r="P12" s="90" t="s">
        <v>698</v>
      </c>
      <c r="Q12" s="87" t="s">
        <v>679</v>
      </c>
      <c r="R12" s="102">
        <v>85792.666666666672</v>
      </c>
      <c r="S12" s="103">
        <f t="shared" si="0"/>
        <v>1029512</v>
      </c>
    </row>
    <row r="13" spans="2:19" ht="14.15" customHeight="1" x14ac:dyDescent="0.3">
      <c r="B13" s="90">
        <v>11</v>
      </c>
      <c r="C13" s="91" t="s">
        <v>195</v>
      </c>
      <c r="D13" s="92" t="s">
        <v>694</v>
      </c>
      <c r="E13" s="125" t="s">
        <v>715</v>
      </c>
      <c r="F13" s="109" t="s">
        <v>701</v>
      </c>
      <c r="G13" s="91" t="s">
        <v>688</v>
      </c>
      <c r="H13" s="95" t="s">
        <v>717</v>
      </c>
      <c r="I13" s="95" t="s">
        <v>718</v>
      </c>
      <c r="J13" s="133">
        <v>4281316802</v>
      </c>
      <c r="K13" s="133" t="s">
        <v>721</v>
      </c>
      <c r="L13" s="98" t="s">
        <v>676</v>
      </c>
      <c r="M13" s="99" t="s">
        <v>677</v>
      </c>
      <c r="N13" s="99" t="s">
        <v>677</v>
      </c>
      <c r="O13" s="95" t="s">
        <v>701</v>
      </c>
      <c r="P13" s="110" t="s">
        <v>698</v>
      </c>
      <c r="Q13" s="87" t="s">
        <v>679</v>
      </c>
      <c r="R13" s="102">
        <v>31742.5</v>
      </c>
      <c r="S13" s="103">
        <f t="shared" si="0"/>
        <v>380910</v>
      </c>
    </row>
    <row r="14" spans="2:19" ht="14.15" customHeight="1" x14ac:dyDescent="0.3">
      <c r="B14" s="90">
        <v>26</v>
      </c>
      <c r="C14" s="126" t="s">
        <v>722</v>
      </c>
      <c r="D14" s="127" t="s">
        <v>723</v>
      </c>
      <c r="E14" s="125" t="s">
        <v>715</v>
      </c>
      <c r="F14" s="109" t="s">
        <v>701</v>
      </c>
      <c r="G14" s="126" t="s">
        <v>724</v>
      </c>
      <c r="H14" s="95" t="s">
        <v>717</v>
      </c>
      <c r="I14" s="95" t="s">
        <v>718</v>
      </c>
      <c r="J14" s="133">
        <v>8336223500</v>
      </c>
      <c r="K14" s="133" t="s">
        <v>725</v>
      </c>
      <c r="L14" s="115" t="s">
        <v>726</v>
      </c>
      <c r="M14" s="99" t="s">
        <v>677</v>
      </c>
      <c r="N14" s="99" t="s">
        <v>677</v>
      </c>
      <c r="O14" s="95" t="s">
        <v>701</v>
      </c>
      <c r="P14" s="90" t="s">
        <v>698</v>
      </c>
      <c r="Q14" s="87" t="s">
        <v>679</v>
      </c>
      <c r="R14" s="102">
        <v>6340</v>
      </c>
      <c r="S14" s="103">
        <f t="shared" si="0"/>
        <v>76080</v>
      </c>
    </row>
    <row r="15" spans="2:19" ht="14.15" customHeight="1" x14ac:dyDescent="0.3">
      <c r="B15" s="90">
        <v>5</v>
      </c>
      <c r="C15" s="91" t="s">
        <v>727</v>
      </c>
      <c r="D15" s="92" t="s">
        <v>669</v>
      </c>
      <c r="E15" s="128" t="s">
        <v>728</v>
      </c>
      <c r="F15" s="120" t="s">
        <v>671</v>
      </c>
      <c r="G15" s="91" t="s">
        <v>716</v>
      </c>
      <c r="H15" s="123" t="s">
        <v>729</v>
      </c>
      <c r="I15" s="95" t="s">
        <v>730</v>
      </c>
      <c r="J15" s="133">
        <v>6261235503</v>
      </c>
      <c r="K15" s="133" t="s">
        <v>731</v>
      </c>
      <c r="L15" s="131" t="s">
        <v>732</v>
      </c>
      <c r="M15" s="99" t="s">
        <v>677</v>
      </c>
      <c r="N15" s="99" t="s">
        <v>677</v>
      </c>
      <c r="O15" s="124" t="s">
        <v>671</v>
      </c>
      <c r="P15" s="101" t="s">
        <v>678</v>
      </c>
      <c r="Q15" s="87" t="s">
        <v>679</v>
      </c>
      <c r="R15" s="102">
        <v>2759.4666666666667</v>
      </c>
      <c r="S15" s="103">
        <f t="shared" si="0"/>
        <v>33113.599999999999</v>
      </c>
    </row>
    <row r="16" spans="2:19" ht="14.15" customHeight="1" x14ac:dyDescent="0.3">
      <c r="B16" s="90">
        <v>6</v>
      </c>
      <c r="C16" s="91" t="s">
        <v>733</v>
      </c>
      <c r="D16" s="92" t="s">
        <v>734</v>
      </c>
      <c r="E16" s="128" t="s">
        <v>735</v>
      </c>
      <c r="F16" s="94" t="s">
        <v>682</v>
      </c>
      <c r="G16" s="91" t="s">
        <v>716</v>
      </c>
      <c r="H16" s="123" t="s">
        <v>736</v>
      </c>
      <c r="I16" s="95" t="s">
        <v>737</v>
      </c>
      <c r="J16" s="133">
        <v>7076210300</v>
      </c>
      <c r="K16" s="133" t="s">
        <v>738</v>
      </c>
      <c r="L16" s="131" t="s">
        <v>732</v>
      </c>
      <c r="M16" s="99" t="s">
        <v>677</v>
      </c>
      <c r="N16" s="99" t="s">
        <v>677</v>
      </c>
      <c r="O16" s="100" t="s">
        <v>682</v>
      </c>
      <c r="P16" s="101" t="s">
        <v>678</v>
      </c>
      <c r="Q16" s="87" t="s">
        <v>679</v>
      </c>
      <c r="R16" s="102">
        <v>7853.8666666666659</v>
      </c>
      <c r="S16" s="103">
        <f t="shared" si="0"/>
        <v>94246.399999999994</v>
      </c>
    </row>
    <row r="17" spans="2:19" ht="14.15" customHeight="1" x14ac:dyDescent="0.3">
      <c r="B17" s="90">
        <v>7</v>
      </c>
      <c r="C17" s="91" t="s">
        <v>739</v>
      </c>
      <c r="D17" s="92" t="s">
        <v>734</v>
      </c>
      <c r="E17" s="128" t="s">
        <v>728</v>
      </c>
      <c r="F17" s="94" t="s">
        <v>740</v>
      </c>
      <c r="G17" s="91" t="s">
        <v>716</v>
      </c>
      <c r="H17" s="95" t="s">
        <v>741</v>
      </c>
      <c r="I17" s="95" t="s">
        <v>742</v>
      </c>
      <c r="J17" s="133">
        <v>7076210300</v>
      </c>
      <c r="K17" s="133" t="s">
        <v>738</v>
      </c>
      <c r="L17" s="98" t="s">
        <v>743</v>
      </c>
      <c r="M17" s="99" t="s">
        <v>677</v>
      </c>
      <c r="N17" s="99" t="s">
        <v>677</v>
      </c>
      <c r="O17" s="100" t="s">
        <v>740</v>
      </c>
      <c r="P17" s="101" t="s">
        <v>678</v>
      </c>
      <c r="Q17" s="87" t="s">
        <v>679</v>
      </c>
      <c r="R17" s="102">
        <v>1620</v>
      </c>
      <c r="S17" s="103">
        <f t="shared" si="0"/>
        <v>19440</v>
      </c>
    </row>
    <row r="18" spans="2:19" ht="14.15" customHeight="1" x14ac:dyDescent="0.3">
      <c r="B18" s="90">
        <v>2</v>
      </c>
      <c r="C18" s="91" t="s">
        <v>744</v>
      </c>
      <c r="D18" s="92" t="s">
        <v>669</v>
      </c>
      <c r="E18" s="93" t="s">
        <v>670</v>
      </c>
      <c r="F18" s="120" t="s">
        <v>671</v>
      </c>
      <c r="G18" s="91" t="s">
        <v>716</v>
      </c>
      <c r="H18" s="95" t="s">
        <v>745</v>
      </c>
      <c r="I18" s="95" t="s">
        <v>746</v>
      </c>
      <c r="J18" s="133">
        <v>6261235503</v>
      </c>
      <c r="K18" s="133" t="s">
        <v>731</v>
      </c>
      <c r="L18" s="98" t="s">
        <v>747</v>
      </c>
      <c r="M18" s="99" t="s">
        <v>677</v>
      </c>
      <c r="N18" s="99" t="s">
        <v>677</v>
      </c>
      <c r="O18" s="124" t="s">
        <v>671</v>
      </c>
      <c r="P18" s="101" t="s">
        <v>678</v>
      </c>
      <c r="Q18" s="87" t="s">
        <v>679</v>
      </c>
      <c r="R18" s="102">
        <v>3000</v>
      </c>
      <c r="S18" s="103">
        <f t="shared" si="0"/>
        <v>36000</v>
      </c>
    </row>
    <row r="19" spans="2:19" ht="14.15" customHeight="1" x14ac:dyDescent="0.3">
      <c r="B19" s="90">
        <v>4</v>
      </c>
      <c r="C19" s="91" t="s">
        <v>748</v>
      </c>
      <c r="D19" s="92" t="s">
        <v>700</v>
      </c>
      <c r="E19" s="93" t="s">
        <v>670</v>
      </c>
      <c r="F19" s="109" t="s">
        <v>701</v>
      </c>
      <c r="G19" s="91" t="s">
        <v>716</v>
      </c>
      <c r="H19" s="95" t="s">
        <v>745</v>
      </c>
      <c r="I19" s="95" t="s">
        <v>746</v>
      </c>
      <c r="J19" s="133">
        <v>1480820503</v>
      </c>
      <c r="K19" s="133" t="s">
        <v>719</v>
      </c>
      <c r="L19" s="98" t="s">
        <v>747</v>
      </c>
      <c r="M19" s="99" t="s">
        <v>677</v>
      </c>
      <c r="N19" s="99" t="s">
        <v>677</v>
      </c>
      <c r="O19" s="95" t="s">
        <v>701</v>
      </c>
      <c r="P19" s="90" t="s">
        <v>698</v>
      </c>
      <c r="Q19" s="87" t="s">
        <v>679</v>
      </c>
      <c r="R19" s="102">
        <v>5801.666666666667</v>
      </c>
      <c r="S19" s="103">
        <f t="shared" si="0"/>
        <v>69620</v>
      </c>
    </row>
    <row r="20" spans="2:19" ht="14.15" customHeight="1" x14ac:dyDescent="0.3">
      <c r="B20" s="90">
        <v>14</v>
      </c>
      <c r="C20" s="95" t="s">
        <v>749</v>
      </c>
      <c r="D20" s="132" t="s">
        <v>669</v>
      </c>
      <c r="E20" s="93" t="s">
        <v>670</v>
      </c>
      <c r="F20" s="120" t="s">
        <v>671</v>
      </c>
      <c r="G20" s="95" t="s">
        <v>750</v>
      </c>
      <c r="H20" s="95" t="s">
        <v>745</v>
      </c>
      <c r="I20" s="95" t="s">
        <v>746</v>
      </c>
      <c r="J20" s="133">
        <v>4055653202</v>
      </c>
      <c r="K20" s="133" t="s">
        <v>751</v>
      </c>
      <c r="L20" s="98" t="s">
        <v>676</v>
      </c>
      <c r="M20" s="99" t="s">
        <v>677</v>
      </c>
      <c r="N20" s="99" t="s">
        <v>677</v>
      </c>
      <c r="O20" s="124" t="s">
        <v>1038</v>
      </c>
      <c r="P20" s="117" t="s">
        <v>714</v>
      </c>
      <c r="Q20" s="118" t="s">
        <v>710</v>
      </c>
      <c r="R20" s="102">
        <v>685.5</v>
      </c>
      <c r="S20" s="103">
        <f t="shared" si="0"/>
        <v>8226</v>
      </c>
    </row>
    <row r="21" spans="2:19" ht="14.15" customHeight="1" x14ac:dyDescent="0.3">
      <c r="B21" s="90">
        <v>15</v>
      </c>
      <c r="C21" s="95" t="s">
        <v>752</v>
      </c>
      <c r="D21" s="132" t="s">
        <v>700</v>
      </c>
      <c r="E21" s="93" t="s">
        <v>670</v>
      </c>
      <c r="F21" s="109" t="s">
        <v>701</v>
      </c>
      <c r="G21" s="95" t="s">
        <v>750</v>
      </c>
      <c r="H21" s="95" t="s">
        <v>745</v>
      </c>
      <c r="I21" s="95" t="s">
        <v>753</v>
      </c>
      <c r="J21" s="133">
        <v>5253136502</v>
      </c>
      <c r="K21" s="133" t="s">
        <v>754</v>
      </c>
      <c r="L21" s="95" t="s">
        <v>703</v>
      </c>
      <c r="M21" s="99" t="s">
        <v>677</v>
      </c>
      <c r="N21" s="99" t="s">
        <v>677</v>
      </c>
      <c r="O21" s="95" t="s">
        <v>701</v>
      </c>
      <c r="P21" s="117" t="s">
        <v>698</v>
      </c>
      <c r="Q21" s="118" t="s">
        <v>710</v>
      </c>
      <c r="R21" s="102">
        <v>10111</v>
      </c>
      <c r="S21" s="103">
        <f t="shared" si="0"/>
        <v>121332</v>
      </c>
    </row>
    <row r="22" spans="2:19" ht="14.15" customHeight="1" x14ac:dyDescent="0.3">
      <c r="B22" s="90">
        <v>16</v>
      </c>
      <c r="C22" s="91" t="s">
        <v>685</v>
      </c>
      <c r="D22" s="92" t="s">
        <v>686</v>
      </c>
      <c r="E22" s="93" t="s">
        <v>670</v>
      </c>
      <c r="F22" s="104" t="s">
        <v>687</v>
      </c>
      <c r="G22" s="91" t="s">
        <v>755</v>
      </c>
      <c r="H22" s="95" t="s">
        <v>745</v>
      </c>
      <c r="I22" s="95" t="s">
        <v>746</v>
      </c>
      <c r="J22" s="133" t="s">
        <v>689</v>
      </c>
      <c r="K22" s="133" t="s">
        <v>690</v>
      </c>
      <c r="L22" s="98" t="s">
        <v>743</v>
      </c>
      <c r="M22" s="105" t="s">
        <v>692</v>
      </c>
      <c r="N22" s="105" t="s">
        <v>692</v>
      </c>
      <c r="O22" s="106" t="s">
        <v>687</v>
      </c>
      <c r="P22" s="101" t="s">
        <v>678</v>
      </c>
      <c r="Q22" s="87" t="s">
        <v>679</v>
      </c>
      <c r="R22" s="102">
        <v>1200</v>
      </c>
      <c r="S22" s="103">
        <f t="shared" si="0"/>
        <v>14400</v>
      </c>
    </row>
    <row r="23" spans="2:19" ht="14.15" customHeight="1" x14ac:dyDescent="0.3">
      <c r="B23" s="90">
        <v>17</v>
      </c>
      <c r="C23" s="91" t="s">
        <v>693</v>
      </c>
      <c r="D23" s="92" t="s">
        <v>694</v>
      </c>
      <c r="E23" s="93" t="s">
        <v>670</v>
      </c>
      <c r="F23" s="107" t="s">
        <v>695</v>
      </c>
      <c r="G23" s="91" t="s">
        <v>755</v>
      </c>
      <c r="H23" s="95" t="s">
        <v>745</v>
      </c>
      <c r="I23" s="95" t="s">
        <v>753</v>
      </c>
      <c r="J23" s="133">
        <v>2448499802</v>
      </c>
      <c r="K23" s="133" t="s">
        <v>696</v>
      </c>
      <c r="L23" s="95" t="s">
        <v>756</v>
      </c>
      <c r="M23" s="105" t="s">
        <v>692</v>
      </c>
      <c r="N23" s="105" t="s">
        <v>692</v>
      </c>
      <c r="O23" s="108" t="s">
        <v>695</v>
      </c>
      <c r="P23" s="90" t="s">
        <v>698</v>
      </c>
      <c r="Q23" s="87" t="s">
        <v>679</v>
      </c>
      <c r="R23" s="102">
        <v>12000</v>
      </c>
      <c r="S23" s="103">
        <f t="shared" si="0"/>
        <v>144000</v>
      </c>
    </row>
    <row r="24" spans="2:19" ht="14.15" customHeight="1" x14ac:dyDescent="0.3">
      <c r="B24" s="90">
        <v>27</v>
      </c>
      <c r="C24" s="121" t="s">
        <v>757</v>
      </c>
      <c r="D24" s="133" t="s">
        <v>758</v>
      </c>
      <c r="E24" s="93" t="s">
        <v>670</v>
      </c>
      <c r="F24" s="113" t="s">
        <v>706</v>
      </c>
      <c r="G24" s="121" t="s">
        <v>759</v>
      </c>
      <c r="H24" s="95" t="s">
        <v>745</v>
      </c>
      <c r="I24" s="95" t="s">
        <v>753</v>
      </c>
      <c r="J24" s="133">
        <v>5057859300</v>
      </c>
      <c r="K24" s="133" t="s">
        <v>760</v>
      </c>
      <c r="L24" s="115" t="s">
        <v>761</v>
      </c>
      <c r="M24" s="134" t="s">
        <v>692</v>
      </c>
      <c r="N24" s="134" t="s">
        <v>692</v>
      </c>
      <c r="O24" s="116" t="s">
        <v>706</v>
      </c>
      <c r="P24" s="117" t="s">
        <v>698</v>
      </c>
      <c r="Q24" s="118" t="s">
        <v>710</v>
      </c>
      <c r="R24" s="102">
        <v>940</v>
      </c>
      <c r="S24" s="103">
        <f t="shared" si="0"/>
        <v>11280</v>
      </c>
    </row>
    <row r="25" spans="2:19" ht="14.15" customHeight="1" x14ac:dyDescent="0.3">
      <c r="B25" s="90">
        <v>3</v>
      </c>
      <c r="C25" s="91" t="s">
        <v>762</v>
      </c>
      <c r="D25" s="92" t="s">
        <v>681</v>
      </c>
      <c r="E25" s="93" t="s">
        <v>670</v>
      </c>
      <c r="F25" s="94" t="s">
        <v>682</v>
      </c>
      <c r="G25" s="91" t="s">
        <v>716</v>
      </c>
      <c r="H25" s="95" t="s">
        <v>745</v>
      </c>
      <c r="I25" s="95" t="s">
        <v>746</v>
      </c>
      <c r="J25" s="133">
        <v>7076210300</v>
      </c>
      <c r="K25" s="133" t="s">
        <v>738</v>
      </c>
      <c r="L25" s="98" t="s">
        <v>747</v>
      </c>
      <c r="M25" s="135" t="s">
        <v>677</v>
      </c>
      <c r="N25" s="135" t="s">
        <v>677</v>
      </c>
      <c r="O25" s="100" t="s">
        <v>682</v>
      </c>
      <c r="P25" s="101" t="s">
        <v>678</v>
      </c>
      <c r="Q25" s="87" t="s">
        <v>679</v>
      </c>
      <c r="R25" s="102">
        <v>27964.666666666668</v>
      </c>
      <c r="S25" s="103">
        <f t="shared" si="0"/>
        <v>335576</v>
      </c>
    </row>
    <row r="26" spans="2:19" ht="14.15" customHeight="1" x14ac:dyDescent="0.3">
      <c r="B26" s="90">
        <v>28</v>
      </c>
      <c r="C26" s="121" t="s">
        <v>704</v>
      </c>
      <c r="D26" s="119"/>
      <c r="E26" s="93" t="s">
        <v>670</v>
      </c>
      <c r="F26" s="136" t="s">
        <v>763</v>
      </c>
      <c r="G26" s="121" t="s">
        <v>764</v>
      </c>
      <c r="H26" s="95" t="s">
        <v>745</v>
      </c>
      <c r="I26" s="95" t="s">
        <v>753</v>
      </c>
      <c r="J26" s="234">
        <v>6197456300</v>
      </c>
      <c r="K26" s="133" t="s">
        <v>765</v>
      </c>
      <c r="L26" s="115" t="s">
        <v>766</v>
      </c>
      <c r="M26" s="105" t="s">
        <v>692</v>
      </c>
      <c r="N26" s="105" t="s">
        <v>692</v>
      </c>
      <c r="O26" s="126" t="s">
        <v>763</v>
      </c>
      <c r="P26" s="117" t="s">
        <v>714</v>
      </c>
      <c r="Q26" s="118" t="s">
        <v>710</v>
      </c>
      <c r="R26" s="137">
        <v>3000</v>
      </c>
      <c r="S26" s="103">
        <f t="shared" si="0"/>
        <v>36000</v>
      </c>
    </row>
    <row r="27" spans="2:19" ht="14.15" customHeight="1" x14ac:dyDescent="0.3">
      <c r="B27" s="90">
        <v>18</v>
      </c>
      <c r="C27" s="91" t="s">
        <v>767</v>
      </c>
      <c r="D27" s="92" t="s">
        <v>768</v>
      </c>
      <c r="E27" s="128" t="s">
        <v>728</v>
      </c>
      <c r="F27" s="94" t="s">
        <v>769</v>
      </c>
      <c r="G27" s="91" t="s">
        <v>770</v>
      </c>
      <c r="H27" s="95" t="s">
        <v>771</v>
      </c>
      <c r="I27" s="95" t="s">
        <v>772</v>
      </c>
      <c r="J27" s="133">
        <v>9210452402</v>
      </c>
      <c r="K27" s="133" t="s">
        <v>773</v>
      </c>
      <c r="L27" s="98" t="s">
        <v>743</v>
      </c>
      <c r="M27" s="99" t="s">
        <v>677</v>
      </c>
      <c r="N27" s="99" t="s">
        <v>677</v>
      </c>
      <c r="O27" s="100" t="s">
        <v>769</v>
      </c>
      <c r="P27" s="101" t="s">
        <v>678</v>
      </c>
      <c r="Q27" s="87" t="s">
        <v>679</v>
      </c>
      <c r="R27" s="102">
        <v>28667.833333333332</v>
      </c>
      <c r="S27" s="103">
        <f t="shared" si="0"/>
        <v>344014</v>
      </c>
    </row>
    <row r="28" spans="2:19" ht="14.15" customHeight="1" x14ac:dyDescent="0.3">
      <c r="B28" s="90">
        <v>19</v>
      </c>
      <c r="C28" s="91" t="s">
        <v>774</v>
      </c>
      <c r="D28" s="92" t="s">
        <v>775</v>
      </c>
      <c r="E28" s="128" t="s">
        <v>728</v>
      </c>
      <c r="F28" s="113" t="s">
        <v>1045</v>
      </c>
      <c r="G28" s="91" t="s">
        <v>770</v>
      </c>
      <c r="H28" s="95" t="s">
        <v>771</v>
      </c>
      <c r="I28" s="95" t="s">
        <v>772</v>
      </c>
      <c r="J28" s="133">
        <v>8615873602</v>
      </c>
      <c r="K28" s="133" t="s">
        <v>776</v>
      </c>
      <c r="L28" s="95" t="s">
        <v>756</v>
      </c>
      <c r="M28" s="99" t="s">
        <v>677</v>
      </c>
      <c r="N28" s="99" t="s">
        <v>677</v>
      </c>
      <c r="O28" s="116" t="s">
        <v>706</v>
      </c>
      <c r="P28" s="90" t="s">
        <v>698</v>
      </c>
      <c r="Q28" s="87" t="s">
        <v>679</v>
      </c>
      <c r="R28" s="102">
        <v>15436.5</v>
      </c>
      <c r="S28" s="103">
        <f t="shared" si="0"/>
        <v>185238</v>
      </c>
    </row>
    <row r="29" spans="2:19" ht="14.15" customHeight="1" x14ac:dyDescent="0.3">
      <c r="B29" s="90">
        <v>25</v>
      </c>
      <c r="C29" s="121" t="s">
        <v>774</v>
      </c>
      <c r="D29" s="133" t="s">
        <v>775</v>
      </c>
      <c r="E29" s="128" t="s">
        <v>728</v>
      </c>
      <c r="F29" s="113" t="s">
        <v>706</v>
      </c>
      <c r="G29" s="121" t="s">
        <v>777</v>
      </c>
      <c r="H29" s="95" t="s">
        <v>771</v>
      </c>
      <c r="I29" s="95" t="s">
        <v>772</v>
      </c>
      <c r="J29" s="133">
        <v>8615873602</v>
      </c>
      <c r="K29" s="133" t="s">
        <v>776</v>
      </c>
      <c r="L29" s="115" t="s">
        <v>778</v>
      </c>
      <c r="M29" s="99" t="s">
        <v>677</v>
      </c>
      <c r="N29" s="99" t="s">
        <v>677</v>
      </c>
      <c r="O29" s="116" t="s">
        <v>706</v>
      </c>
      <c r="P29" s="90" t="s">
        <v>698</v>
      </c>
      <c r="Q29" s="87" t="s">
        <v>679</v>
      </c>
      <c r="R29" s="102">
        <v>8323</v>
      </c>
      <c r="S29" s="103">
        <f t="shared" si="0"/>
        <v>99876</v>
      </c>
    </row>
    <row r="30" spans="2:19" ht="14.15" customHeight="1" x14ac:dyDescent="0.3">
      <c r="B30" s="90">
        <v>23</v>
      </c>
      <c r="C30" s="121" t="s">
        <v>779</v>
      </c>
      <c r="D30" s="133" t="s">
        <v>758</v>
      </c>
      <c r="E30" s="128" t="s">
        <v>728</v>
      </c>
      <c r="F30" s="113" t="s">
        <v>706</v>
      </c>
      <c r="G30" s="121" t="s">
        <v>780</v>
      </c>
      <c r="H30" s="95" t="s">
        <v>771</v>
      </c>
      <c r="I30" s="95" t="s">
        <v>772</v>
      </c>
      <c r="J30" s="133">
        <v>5057859300</v>
      </c>
      <c r="K30" s="133" t="s">
        <v>760</v>
      </c>
      <c r="L30" s="115" t="s">
        <v>781</v>
      </c>
      <c r="M30" s="105" t="s">
        <v>692</v>
      </c>
      <c r="N30" s="105" t="s">
        <v>692</v>
      </c>
      <c r="O30" s="116" t="s">
        <v>706</v>
      </c>
      <c r="P30" s="90" t="s">
        <v>698</v>
      </c>
      <c r="Q30" s="87" t="s">
        <v>679</v>
      </c>
      <c r="R30" s="102">
        <v>14137.833333333334</v>
      </c>
      <c r="S30" s="103">
        <f t="shared" si="0"/>
        <v>169654</v>
      </c>
    </row>
    <row r="31" spans="2:19" ht="14.15" customHeight="1" x14ac:dyDescent="0.3">
      <c r="B31" s="90">
        <v>24</v>
      </c>
      <c r="C31" s="126" t="s">
        <v>782</v>
      </c>
      <c r="D31" s="127" t="s">
        <v>686</v>
      </c>
      <c r="E31" s="128" t="s">
        <v>728</v>
      </c>
      <c r="F31" s="136" t="s">
        <v>687</v>
      </c>
      <c r="G31" s="126" t="s">
        <v>780</v>
      </c>
      <c r="H31" s="95" t="s">
        <v>771</v>
      </c>
      <c r="I31" s="95" t="s">
        <v>772</v>
      </c>
      <c r="J31" s="133">
        <v>3230593800</v>
      </c>
      <c r="K31" s="133" t="s">
        <v>783</v>
      </c>
      <c r="L31" s="115" t="s">
        <v>781</v>
      </c>
      <c r="M31" s="134" t="s">
        <v>692</v>
      </c>
      <c r="N31" s="134" t="s">
        <v>692</v>
      </c>
      <c r="O31" s="126" t="s">
        <v>687</v>
      </c>
      <c r="P31" s="117" t="s">
        <v>714</v>
      </c>
      <c r="Q31" s="118" t="s">
        <v>710</v>
      </c>
      <c r="R31" s="137">
        <v>2000</v>
      </c>
      <c r="S31" s="103">
        <f t="shared" si="0"/>
        <v>24000</v>
      </c>
    </row>
    <row r="32" spans="2:19" ht="14.15" customHeight="1" x14ac:dyDescent="0.3">
      <c r="B32" s="138">
        <v>22</v>
      </c>
      <c r="C32" s="139" t="s">
        <v>784</v>
      </c>
      <c r="D32" s="140" t="s">
        <v>785</v>
      </c>
      <c r="E32" s="141" t="s">
        <v>728</v>
      </c>
      <c r="F32" s="142" t="s">
        <v>687</v>
      </c>
      <c r="G32" s="139" t="s">
        <v>786</v>
      </c>
      <c r="H32" s="143" t="s">
        <v>771</v>
      </c>
      <c r="I32" s="143" t="s">
        <v>772</v>
      </c>
      <c r="J32" s="231">
        <v>4949673700</v>
      </c>
      <c r="K32" s="133" t="s">
        <v>787</v>
      </c>
      <c r="L32" s="145" t="s">
        <v>781</v>
      </c>
      <c r="M32" s="134" t="s">
        <v>692</v>
      </c>
      <c r="N32" s="134" t="s">
        <v>692</v>
      </c>
      <c r="O32" s="146" t="s">
        <v>687</v>
      </c>
      <c r="P32" s="101" t="s">
        <v>678</v>
      </c>
      <c r="Q32" s="87" t="s">
        <v>679</v>
      </c>
      <c r="R32" s="147">
        <v>16402.833333333332</v>
      </c>
      <c r="S32" s="148">
        <f t="shared" si="0"/>
        <v>196834</v>
      </c>
    </row>
    <row r="33" spans="2:20" ht="14.15" customHeight="1" x14ac:dyDescent="0.3">
      <c r="B33" s="149">
        <v>29</v>
      </c>
      <c r="C33" s="150" t="s">
        <v>704</v>
      </c>
      <c r="D33" s="151" t="s">
        <v>686</v>
      </c>
      <c r="E33" s="152" t="s">
        <v>728</v>
      </c>
      <c r="F33" s="153" t="s">
        <v>687</v>
      </c>
      <c r="G33" s="150" t="s">
        <v>788</v>
      </c>
      <c r="H33" s="154" t="s">
        <v>771</v>
      </c>
      <c r="I33" s="154" t="s">
        <v>772</v>
      </c>
      <c r="J33" s="235">
        <v>3255183100</v>
      </c>
      <c r="K33" s="133" t="s">
        <v>789</v>
      </c>
      <c r="L33" s="155"/>
      <c r="M33" s="134" t="s">
        <v>692</v>
      </c>
      <c r="N33" s="134" t="s">
        <v>692</v>
      </c>
      <c r="O33" s="156" t="s">
        <v>1037</v>
      </c>
      <c r="P33" s="101" t="s">
        <v>678</v>
      </c>
      <c r="Q33" s="87" t="s">
        <v>679</v>
      </c>
      <c r="R33" s="157"/>
      <c r="S33" s="158"/>
    </row>
    <row r="34" spans="2:20" ht="14.15" customHeight="1" x14ac:dyDescent="0.3">
      <c r="B34" s="149">
        <v>30</v>
      </c>
      <c r="C34" s="150" t="s">
        <v>704</v>
      </c>
      <c r="D34" s="151" t="s">
        <v>758</v>
      </c>
      <c r="E34" s="152" t="s">
        <v>728</v>
      </c>
      <c r="F34" s="159" t="s">
        <v>706</v>
      </c>
      <c r="G34" s="150" t="s">
        <v>788</v>
      </c>
      <c r="H34" s="154" t="s">
        <v>771</v>
      </c>
      <c r="I34" s="154" t="s">
        <v>772</v>
      </c>
      <c r="J34" s="235">
        <v>8104843600</v>
      </c>
      <c r="K34" s="133" t="s">
        <v>790</v>
      </c>
      <c r="L34" s="155"/>
      <c r="M34" s="134" t="s">
        <v>692</v>
      </c>
      <c r="N34" s="134" t="s">
        <v>692</v>
      </c>
      <c r="O34" s="160" t="s">
        <v>706</v>
      </c>
      <c r="P34" s="90" t="s">
        <v>698</v>
      </c>
      <c r="Q34" s="87" t="s">
        <v>679</v>
      </c>
      <c r="R34" s="157"/>
      <c r="S34" s="158"/>
    </row>
    <row r="35" spans="2:20" ht="14.15" customHeight="1" x14ac:dyDescent="0.3">
      <c r="B35" s="161">
        <v>31</v>
      </c>
      <c r="C35" s="162" t="s">
        <v>704</v>
      </c>
      <c r="D35" s="163" t="s">
        <v>694</v>
      </c>
      <c r="E35" s="164" t="s">
        <v>728</v>
      </c>
      <c r="F35" s="165" t="s">
        <v>695</v>
      </c>
      <c r="G35" s="162" t="s">
        <v>791</v>
      </c>
      <c r="H35" s="166" t="s">
        <v>771</v>
      </c>
      <c r="I35" s="166" t="s">
        <v>772</v>
      </c>
      <c r="J35" s="236">
        <v>6054945100</v>
      </c>
      <c r="K35" s="163" t="s">
        <v>792</v>
      </c>
      <c r="L35" s="168"/>
      <c r="M35" s="169" t="s">
        <v>692</v>
      </c>
      <c r="N35" s="169" t="s">
        <v>692</v>
      </c>
      <c r="O35" s="170" t="s">
        <v>1028</v>
      </c>
      <c r="P35" s="161" t="s">
        <v>698</v>
      </c>
      <c r="Q35" s="171" t="s">
        <v>679</v>
      </c>
      <c r="R35" s="172"/>
      <c r="S35" s="173"/>
    </row>
    <row r="36" spans="2:20" ht="14.15" customHeight="1" x14ac:dyDescent="0.55000000000000004">
      <c r="B36" s="161">
        <v>32</v>
      </c>
      <c r="C36" s="242" t="s">
        <v>1044</v>
      </c>
      <c r="D36" s="242" t="s">
        <v>1044</v>
      </c>
      <c r="E36" s="242" t="s">
        <v>1044</v>
      </c>
      <c r="F36" s="242" t="s">
        <v>1044</v>
      </c>
      <c r="G36" s="238" t="s">
        <v>1024</v>
      </c>
      <c r="H36" s="238" t="s">
        <v>1031</v>
      </c>
      <c r="I36" s="238" t="s">
        <v>1025</v>
      </c>
      <c r="J36" s="238">
        <v>2069086000</v>
      </c>
      <c r="K36" s="238" t="s">
        <v>1026</v>
      </c>
      <c r="L36" s="243" t="s">
        <v>1044</v>
      </c>
      <c r="M36" s="243" t="s">
        <v>1044</v>
      </c>
      <c r="N36" s="243" t="s">
        <v>1044</v>
      </c>
      <c r="O36" s="239" t="s">
        <v>1043</v>
      </c>
      <c r="P36" s="237"/>
      <c r="Q36" s="237"/>
      <c r="R36" s="237"/>
      <c r="S36" s="237"/>
      <c r="T36" s="237"/>
    </row>
    <row r="37" spans="2:20" ht="14.15" customHeight="1" x14ac:dyDescent="0.55000000000000004">
      <c r="B37" s="161">
        <v>33</v>
      </c>
      <c r="C37" s="242" t="s">
        <v>1044</v>
      </c>
      <c r="D37" s="242" t="s">
        <v>1044</v>
      </c>
      <c r="E37" s="242" t="s">
        <v>1044</v>
      </c>
      <c r="F37" s="242" t="s">
        <v>1044</v>
      </c>
      <c r="G37" s="238" t="s">
        <v>688</v>
      </c>
      <c r="H37" s="238" t="s">
        <v>1030</v>
      </c>
      <c r="I37" s="238" t="s">
        <v>32</v>
      </c>
      <c r="J37" s="238">
        <v>8481496202</v>
      </c>
      <c r="K37" s="238" t="s">
        <v>1029</v>
      </c>
      <c r="L37" s="243" t="s">
        <v>1044</v>
      </c>
      <c r="M37" s="243" t="s">
        <v>1044</v>
      </c>
      <c r="N37" s="243" t="s">
        <v>1044</v>
      </c>
      <c r="O37" s="239" t="s">
        <v>1038</v>
      </c>
      <c r="R37" s="174">
        <f>SUM(R5:R32)</f>
        <v>346930.33333333331</v>
      </c>
      <c r="S37" s="174">
        <f>SUM(S5:S32)</f>
        <v>4163164</v>
      </c>
    </row>
    <row r="38" spans="2:20" ht="14.15" customHeight="1" x14ac:dyDescent="0.55000000000000004">
      <c r="B38" s="161">
        <v>34</v>
      </c>
      <c r="C38" s="242" t="s">
        <v>1044</v>
      </c>
      <c r="D38" s="242" t="s">
        <v>1044</v>
      </c>
      <c r="E38" s="242" t="s">
        <v>1044</v>
      </c>
      <c r="F38" s="242" t="s">
        <v>1044</v>
      </c>
      <c r="G38" s="238" t="s">
        <v>639</v>
      </c>
      <c r="H38" s="238" t="s">
        <v>1030</v>
      </c>
      <c r="I38" s="238" t="s">
        <v>32</v>
      </c>
      <c r="J38" s="238">
        <v>4281316802</v>
      </c>
      <c r="K38" s="238" t="s">
        <v>1035</v>
      </c>
      <c r="L38" s="243" t="s">
        <v>1044</v>
      </c>
      <c r="M38" s="243" t="s">
        <v>1044</v>
      </c>
      <c r="N38" s="243" t="s">
        <v>1044</v>
      </c>
      <c r="O38" s="239" t="s">
        <v>1039</v>
      </c>
      <c r="R38" s="174"/>
      <c r="S38" s="174"/>
    </row>
    <row r="39" spans="2:20" ht="14.15" customHeight="1" x14ac:dyDescent="0.55000000000000004">
      <c r="B39" s="161">
        <v>35</v>
      </c>
      <c r="C39" s="242" t="s">
        <v>1044</v>
      </c>
      <c r="D39" s="242" t="s">
        <v>1044</v>
      </c>
      <c r="E39" s="242" t="s">
        <v>1044</v>
      </c>
      <c r="F39" s="242" t="s">
        <v>1044</v>
      </c>
      <c r="G39" s="239" t="s">
        <v>1032</v>
      </c>
      <c r="H39" s="239" t="s">
        <v>1033</v>
      </c>
      <c r="I39" s="239" t="s">
        <v>1034</v>
      </c>
      <c r="J39" s="239">
        <v>5085896000</v>
      </c>
      <c r="K39" s="240" t="s">
        <v>1036</v>
      </c>
      <c r="L39" s="243" t="s">
        <v>1044</v>
      </c>
      <c r="M39" s="243" t="s">
        <v>1044</v>
      </c>
      <c r="N39" s="243" t="s">
        <v>1044</v>
      </c>
      <c r="O39" s="239" t="s">
        <v>1037</v>
      </c>
    </row>
    <row r="40" spans="2:20" ht="14.15" customHeight="1" x14ac:dyDescent="0.3">
      <c r="B40" s="161">
        <v>36</v>
      </c>
      <c r="C40" s="242" t="s">
        <v>1044</v>
      </c>
      <c r="D40" s="242" t="s">
        <v>1044</v>
      </c>
      <c r="E40" s="242" t="s">
        <v>1044</v>
      </c>
      <c r="F40" s="242" t="s">
        <v>1044</v>
      </c>
      <c r="G40" s="239" t="s">
        <v>1032</v>
      </c>
      <c r="H40" s="239" t="s">
        <v>1040</v>
      </c>
      <c r="I40" s="241" t="s">
        <v>746</v>
      </c>
      <c r="J40" s="239">
        <v>3190271100</v>
      </c>
      <c r="K40" s="240" t="s">
        <v>1041</v>
      </c>
      <c r="L40" s="243" t="s">
        <v>1044</v>
      </c>
      <c r="M40" s="243" t="s">
        <v>1044</v>
      </c>
      <c r="N40" s="243" t="s">
        <v>1044</v>
      </c>
      <c r="O40" s="239" t="s">
        <v>1037</v>
      </c>
    </row>
    <row r="41" spans="2:20" ht="14.15" customHeight="1" x14ac:dyDescent="0.3">
      <c r="B41" s="161">
        <v>37</v>
      </c>
      <c r="C41" s="242" t="s">
        <v>1044</v>
      </c>
      <c r="D41" s="242" t="s">
        <v>1044</v>
      </c>
      <c r="E41" s="242" t="s">
        <v>1044</v>
      </c>
      <c r="F41" s="242" t="s">
        <v>1044</v>
      </c>
      <c r="G41" s="239" t="s">
        <v>1032</v>
      </c>
      <c r="H41" s="239" t="s">
        <v>1040</v>
      </c>
      <c r="I41" s="241" t="s">
        <v>753</v>
      </c>
      <c r="J41" s="239">
        <v>7076201300</v>
      </c>
      <c r="K41" s="240" t="s">
        <v>1042</v>
      </c>
      <c r="L41" s="243" t="s">
        <v>1044</v>
      </c>
      <c r="M41" s="243" t="s">
        <v>1044</v>
      </c>
      <c r="N41" s="243" t="s">
        <v>1044</v>
      </c>
      <c r="O41" s="239" t="s">
        <v>1027</v>
      </c>
    </row>
  </sheetData>
  <autoFilter ref="B4:S37" xr:uid="{AACCF1DA-8E39-40A9-B962-C8F854B2CF49}"/>
  <phoneticPr fontId="1"/>
  <conditionalFormatting sqref="F5:F35">
    <cfRule type="colorScale" priority="1">
      <colorScale>
        <cfvo type="min"/>
        <cfvo type="percentile" val="50"/>
        <cfvo type="max"/>
        <color rgb="FFF8696B"/>
        <color rgb="FFFFEB84"/>
        <color rgb="FF63BE7B"/>
      </colorScale>
    </cfRule>
  </conditionalFormatting>
  <conditionalFormatting sqref="O5:O35">
    <cfRule type="colorScale" priority="2">
      <colorScale>
        <cfvo type="min"/>
        <cfvo type="percentile" val="50"/>
        <cfvo type="max"/>
        <color rgb="FFF8696B"/>
        <color rgb="FFFFEB84"/>
        <color rgb="FF63BE7B"/>
      </colorScale>
    </cfRule>
  </conditionalFormatting>
  <pageMargins left="0.25" right="0.25" top="0.75" bottom="0.75" header="0.3" footer="0.3"/>
  <pageSetup paperSize="9" scale="5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CF1DA-8E39-40A9-B962-C8F854B2CF49}">
  <sheetPr codeName="Sheet4">
    <tabColor rgb="FFFFC000"/>
    <pageSetUpPr fitToPage="1"/>
  </sheetPr>
  <dimension ref="B2:S37"/>
  <sheetViews>
    <sheetView workbookViewId="0">
      <selection activeCell="J17" sqref="J17"/>
    </sheetView>
  </sheetViews>
  <sheetFormatPr defaultColWidth="8.58203125" defaultRowHeight="14.15" customHeight="1" x14ac:dyDescent="0.55000000000000004"/>
  <cols>
    <col min="1" max="1" width="4.33203125" style="70" customWidth="1"/>
    <col min="2" max="2" width="3.5" style="70" customWidth="1"/>
    <col min="3" max="3" width="13.58203125" style="70" bestFit="1" customWidth="1"/>
    <col min="4" max="4" width="18.08203125" style="70" bestFit="1" customWidth="1"/>
    <col min="5" max="5" width="6.58203125" style="70" customWidth="1"/>
    <col min="6" max="6" width="14.33203125" style="70" customWidth="1"/>
    <col min="7" max="7" width="5.83203125" style="70" customWidth="1"/>
    <col min="8" max="8" width="10.08203125" style="70" bestFit="1" customWidth="1"/>
    <col min="9" max="9" width="7.08203125" style="70" customWidth="1"/>
    <col min="10" max="10" width="11.33203125" style="70" bestFit="1" customWidth="1"/>
    <col min="11" max="11" width="19.08203125" style="71" customWidth="1"/>
    <col min="12" max="12" width="10.08203125" style="70" bestFit="1" customWidth="1"/>
    <col min="13" max="13" width="16.83203125" style="70" customWidth="1"/>
    <col min="14" max="14" width="13.83203125" style="70" customWidth="1"/>
    <col min="15" max="16" width="14.33203125" style="70" customWidth="1"/>
    <col min="17" max="17" width="9.58203125" style="70" bestFit="1" customWidth="1"/>
    <col min="18" max="18" width="8.5" style="70" bestFit="1" customWidth="1"/>
    <col min="19" max="19" width="8.58203125" style="70" bestFit="1" customWidth="1"/>
    <col min="20" max="16384" width="8.58203125" style="70"/>
  </cols>
  <sheetData>
    <row r="2" spans="2:19" ht="14.15" customHeight="1" x14ac:dyDescent="0.55000000000000004">
      <c r="B2" s="69" t="s">
        <v>651</v>
      </c>
      <c r="F2"/>
      <c r="M2"/>
      <c r="N2"/>
      <c r="O2"/>
      <c r="P2"/>
      <c r="Q2"/>
    </row>
    <row r="3" spans="2:19" ht="14.15" customHeight="1" x14ac:dyDescent="0.55000000000000004">
      <c r="F3"/>
      <c r="K3" s="70"/>
      <c r="M3"/>
      <c r="N3"/>
      <c r="O3"/>
      <c r="P3"/>
      <c r="Q3"/>
    </row>
    <row r="4" spans="2:19" ht="50" x14ac:dyDescent="0.55000000000000004">
      <c r="B4" s="72" t="s">
        <v>652</v>
      </c>
      <c r="C4" s="73" t="s">
        <v>653</v>
      </c>
      <c r="D4" s="73" t="s">
        <v>654</v>
      </c>
      <c r="E4" s="72" t="s">
        <v>655</v>
      </c>
      <c r="F4" s="72" t="s">
        <v>656</v>
      </c>
      <c r="G4" s="73" t="s">
        <v>657</v>
      </c>
      <c r="H4" s="72" t="s">
        <v>658</v>
      </c>
      <c r="I4" s="72" t="s">
        <v>659</v>
      </c>
      <c r="J4" s="72" t="s">
        <v>660</v>
      </c>
      <c r="K4" s="72" t="s">
        <v>661</v>
      </c>
      <c r="L4" s="72" t="s">
        <v>662</v>
      </c>
      <c r="M4" s="74" t="s">
        <v>663</v>
      </c>
      <c r="N4" s="74" t="s">
        <v>663</v>
      </c>
      <c r="O4" s="72" t="s">
        <v>656</v>
      </c>
      <c r="P4" s="74" t="s">
        <v>664</v>
      </c>
      <c r="Q4" s="74" t="s">
        <v>665</v>
      </c>
      <c r="R4" s="74" t="s">
        <v>666</v>
      </c>
      <c r="S4" s="74" t="s">
        <v>667</v>
      </c>
    </row>
    <row r="5" spans="2:19" ht="14.15" customHeight="1" x14ac:dyDescent="0.3">
      <c r="B5" s="75">
        <v>8</v>
      </c>
      <c r="C5" s="76" t="s">
        <v>668</v>
      </c>
      <c r="D5" s="77" t="s">
        <v>669</v>
      </c>
      <c r="E5" s="78" t="s">
        <v>670</v>
      </c>
      <c r="F5" s="79" t="s">
        <v>671</v>
      </c>
      <c r="G5" s="76" t="s">
        <v>672</v>
      </c>
      <c r="H5" s="80" t="s">
        <v>673</v>
      </c>
      <c r="I5" s="80" t="s">
        <v>674</v>
      </c>
      <c r="J5" s="81">
        <v>8482901302</v>
      </c>
      <c r="K5" s="82" t="s">
        <v>675</v>
      </c>
      <c r="L5" s="83" t="s">
        <v>676</v>
      </c>
      <c r="M5" s="84" t="s">
        <v>677</v>
      </c>
      <c r="N5" s="84" t="s">
        <v>677</v>
      </c>
      <c r="O5" s="85" t="s">
        <v>671</v>
      </c>
      <c r="P5" s="86" t="s">
        <v>678</v>
      </c>
      <c r="Q5" s="87" t="s">
        <v>679</v>
      </c>
      <c r="R5" s="88">
        <v>296.83333333333331</v>
      </c>
      <c r="S5" s="89">
        <f t="shared" ref="S5:S32" si="0">R5*12</f>
        <v>3562</v>
      </c>
    </row>
    <row r="6" spans="2:19" ht="14.15" customHeight="1" x14ac:dyDescent="0.3">
      <c r="B6" s="90">
        <v>9</v>
      </c>
      <c r="C6" s="91" t="s">
        <v>680</v>
      </c>
      <c r="D6" s="92" t="s">
        <v>681</v>
      </c>
      <c r="E6" s="93" t="s">
        <v>670</v>
      </c>
      <c r="F6" s="94" t="s">
        <v>682</v>
      </c>
      <c r="G6" s="91" t="s">
        <v>672</v>
      </c>
      <c r="H6" s="95" t="s">
        <v>673</v>
      </c>
      <c r="I6" s="95" t="s">
        <v>683</v>
      </c>
      <c r="J6" s="96">
        <v>3717297900</v>
      </c>
      <c r="K6" s="97" t="s">
        <v>684</v>
      </c>
      <c r="L6" s="98" t="s">
        <v>676</v>
      </c>
      <c r="M6" s="99" t="s">
        <v>677</v>
      </c>
      <c r="N6" s="99" t="s">
        <v>677</v>
      </c>
      <c r="O6" s="100" t="s">
        <v>682</v>
      </c>
      <c r="P6" s="101" t="s">
        <v>678</v>
      </c>
      <c r="Q6" s="87" t="s">
        <v>679</v>
      </c>
      <c r="R6" s="102">
        <v>21874.333333333332</v>
      </c>
      <c r="S6" s="103">
        <f t="shared" si="0"/>
        <v>262492</v>
      </c>
    </row>
    <row r="7" spans="2:19" ht="14.15" customHeight="1" x14ac:dyDescent="0.3">
      <c r="B7" s="90">
        <v>12</v>
      </c>
      <c r="C7" s="91" t="s">
        <v>685</v>
      </c>
      <c r="D7" s="92" t="s">
        <v>686</v>
      </c>
      <c r="E7" s="93" t="s">
        <v>670</v>
      </c>
      <c r="F7" s="104" t="s">
        <v>687</v>
      </c>
      <c r="G7" s="91" t="s">
        <v>688</v>
      </c>
      <c r="H7" s="95" t="s">
        <v>673</v>
      </c>
      <c r="I7" s="95" t="s">
        <v>674</v>
      </c>
      <c r="J7" s="96" t="s">
        <v>689</v>
      </c>
      <c r="K7" s="97" t="s">
        <v>690</v>
      </c>
      <c r="L7" s="98" t="s">
        <v>691</v>
      </c>
      <c r="M7" s="105" t="s">
        <v>692</v>
      </c>
      <c r="N7" s="105" t="s">
        <v>692</v>
      </c>
      <c r="O7" s="106" t="s">
        <v>687</v>
      </c>
      <c r="P7" s="101" t="s">
        <v>678</v>
      </c>
      <c r="Q7" s="87" t="s">
        <v>679</v>
      </c>
      <c r="R7" s="102">
        <v>17564.333333333332</v>
      </c>
      <c r="S7" s="103">
        <f t="shared" si="0"/>
        <v>210772</v>
      </c>
    </row>
    <row r="8" spans="2:19" ht="14.15" customHeight="1" x14ac:dyDescent="0.3">
      <c r="B8" s="90">
        <v>13</v>
      </c>
      <c r="C8" s="91" t="s">
        <v>693</v>
      </c>
      <c r="D8" s="92" t="s">
        <v>694</v>
      </c>
      <c r="E8" s="93" t="s">
        <v>670</v>
      </c>
      <c r="F8" s="107" t="s">
        <v>695</v>
      </c>
      <c r="G8" s="91" t="s">
        <v>688</v>
      </c>
      <c r="H8" s="95" t="s">
        <v>673</v>
      </c>
      <c r="I8" s="95" t="s">
        <v>32</v>
      </c>
      <c r="J8" s="96">
        <v>2448499802</v>
      </c>
      <c r="K8" s="97" t="s">
        <v>696</v>
      </c>
      <c r="L8" s="98" t="s">
        <v>697</v>
      </c>
      <c r="M8" s="105" t="s">
        <v>692</v>
      </c>
      <c r="N8" s="105" t="s">
        <v>692</v>
      </c>
      <c r="O8" s="108" t="s">
        <v>695</v>
      </c>
      <c r="P8" s="90" t="s">
        <v>698</v>
      </c>
      <c r="Q8" s="87" t="s">
        <v>679</v>
      </c>
      <c r="R8" s="102">
        <v>14840.166666666666</v>
      </c>
      <c r="S8" s="103">
        <f t="shared" si="0"/>
        <v>178082</v>
      </c>
    </row>
    <row r="9" spans="2:19" ht="14.15" customHeight="1" x14ac:dyDescent="0.3">
      <c r="B9" s="90">
        <v>10</v>
      </c>
      <c r="C9" s="91" t="s">
        <v>699</v>
      </c>
      <c r="D9" s="92" t="s">
        <v>700</v>
      </c>
      <c r="E9" s="93" t="s">
        <v>670</v>
      </c>
      <c r="F9" s="109" t="s">
        <v>701</v>
      </c>
      <c r="G9" s="91" t="s">
        <v>672</v>
      </c>
      <c r="H9" s="95" t="s">
        <v>673</v>
      </c>
      <c r="I9" s="95" t="s">
        <v>683</v>
      </c>
      <c r="J9" s="96">
        <v>4110184902</v>
      </c>
      <c r="K9" s="97" t="s">
        <v>702</v>
      </c>
      <c r="L9" s="95" t="s">
        <v>703</v>
      </c>
      <c r="M9" s="99" t="s">
        <v>677</v>
      </c>
      <c r="N9" s="99" t="s">
        <v>677</v>
      </c>
      <c r="O9" s="95" t="s">
        <v>701</v>
      </c>
      <c r="P9" s="110" t="s">
        <v>698</v>
      </c>
      <c r="Q9" s="87" t="s">
        <v>679</v>
      </c>
      <c r="R9" s="102">
        <v>4575.333333333333</v>
      </c>
      <c r="S9" s="103">
        <f t="shared" si="0"/>
        <v>54904</v>
      </c>
    </row>
    <row r="10" spans="2:19" ht="14.15" customHeight="1" x14ac:dyDescent="0.3">
      <c r="B10" s="90">
        <v>20</v>
      </c>
      <c r="C10" s="111" t="s">
        <v>704</v>
      </c>
      <c r="D10" s="112" t="s">
        <v>705</v>
      </c>
      <c r="E10" s="93" t="s">
        <v>670</v>
      </c>
      <c r="F10" s="113" t="s">
        <v>706</v>
      </c>
      <c r="G10" s="111" t="s">
        <v>707</v>
      </c>
      <c r="H10" s="111" t="s">
        <v>673</v>
      </c>
      <c r="I10" s="95" t="s">
        <v>683</v>
      </c>
      <c r="J10" s="114">
        <v>4803011400</v>
      </c>
      <c r="K10" s="97" t="s">
        <v>708</v>
      </c>
      <c r="L10" s="115" t="s">
        <v>709</v>
      </c>
      <c r="M10" s="105" t="s">
        <v>692</v>
      </c>
      <c r="N10" s="105" t="s">
        <v>692</v>
      </c>
      <c r="O10" s="116" t="s">
        <v>706</v>
      </c>
      <c r="P10" s="117" t="s">
        <v>698</v>
      </c>
      <c r="Q10" s="118" t="s">
        <v>710</v>
      </c>
      <c r="R10" s="102">
        <v>833.33333333333337</v>
      </c>
      <c r="S10" s="103">
        <f t="shared" si="0"/>
        <v>10000</v>
      </c>
    </row>
    <row r="11" spans="2:19" ht="14.15" customHeight="1" x14ac:dyDescent="0.3">
      <c r="B11" s="90">
        <v>21</v>
      </c>
      <c r="C11" s="111" t="s">
        <v>704</v>
      </c>
      <c r="D11" s="119"/>
      <c r="E11" s="93" t="s">
        <v>670</v>
      </c>
      <c r="F11" s="120" t="s">
        <v>671</v>
      </c>
      <c r="G11" s="121" t="s">
        <v>711</v>
      </c>
      <c r="H11" s="111" t="s">
        <v>673</v>
      </c>
      <c r="I11" s="95" t="s">
        <v>683</v>
      </c>
      <c r="J11" s="122"/>
      <c r="K11" s="123" t="s">
        <v>712</v>
      </c>
      <c r="L11" s="115" t="s">
        <v>713</v>
      </c>
      <c r="M11" s="105" t="s">
        <v>692</v>
      </c>
      <c r="N11" s="105" t="s">
        <v>692</v>
      </c>
      <c r="O11" s="124" t="s">
        <v>671</v>
      </c>
      <c r="P11" s="117" t="s">
        <v>714</v>
      </c>
      <c r="Q11" s="118" t="s">
        <v>710</v>
      </c>
      <c r="R11" s="102">
        <v>1166.6666666666667</v>
      </c>
      <c r="S11" s="103">
        <f t="shared" si="0"/>
        <v>14000</v>
      </c>
    </row>
    <row r="12" spans="2:19" ht="14.15" customHeight="1" x14ac:dyDescent="0.3">
      <c r="B12" s="90">
        <v>1</v>
      </c>
      <c r="C12" s="91" t="s">
        <v>798</v>
      </c>
      <c r="D12" s="92" t="s">
        <v>700</v>
      </c>
      <c r="E12" s="125" t="s">
        <v>715</v>
      </c>
      <c r="F12" s="109" t="s">
        <v>701</v>
      </c>
      <c r="G12" s="91" t="s">
        <v>716</v>
      </c>
      <c r="H12" s="95" t="s">
        <v>717</v>
      </c>
      <c r="I12" s="95" t="s">
        <v>718</v>
      </c>
      <c r="J12" s="96">
        <v>1480820503</v>
      </c>
      <c r="K12" s="97" t="s">
        <v>719</v>
      </c>
      <c r="L12" s="98" t="s">
        <v>720</v>
      </c>
      <c r="M12" s="99" t="s">
        <v>677</v>
      </c>
      <c r="N12" s="99" t="s">
        <v>677</v>
      </c>
      <c r="O12" s="95" t="s">
        <v>701</v>
      </c>
      <c r="P12" s="90" t="s">
        <v>698</v>
      </c>
      <c r="Q12" s="87" t="s">
        <v>679</v>
      </c>
      <c r="R12" s="102">
        <v>85792.666666666672</v>
      </c>
      <c r="S12" s="103">
        <f t="shared" si="0"/>
        <v>1029512</v>
      </c>
    </row>
    <row r="13" spans="2:19" ht="14.15" customHeight="1" x14ac:dyDescent="0.3">
      <c r="B13" s="90">
        <v>11</v>
      </c>
      <c r="C13" s="91" t="s">
        <v>195</v>
      </c>
      <c r="D13" s="92" t="s">
        <v>694</v>
      </c>
      <c r="E13" s="125" t="s">
        <v>715</v>
      </c>
      <c r="F13" s="109" t="s">
        <v>701</v>
      </c>
      <c r="G13" s="91" t="s">
        <v>688</v>
      </c>
      <c r="H13" s="95" t="s">
        <v>717</v>
      </c>
      <c r="I13" s="95" t="s">
        <v>718</v>
      </c>
      <c r="J13" s="96">
        <v>4281316802</v>
      </c>
      <c r="K13" s="97" t="s">
        <v>721</v>
      </c>
      <c r="L13" s="98" t="s">
        <v>676</v>
      </c>
      <c r="M13" s="99" t="s">
        <v>677</v>
      </c>
      <c r="N13" s="99" t="s">
        <v>677</v>
      </c>
      <c r="O13" s="95" t="s">
        <v>701</v>
      </c>
      <c r="P13" s="110" t="s">
        <v>698</v>
      </c>
      <c r="Q13" s="87" t="s">
        <v>679</v>
      </c>
      <c r="R13" s="102">
        <v>31742.5</v>
      </c>
      <c r="S13" s="103">
        <f t="shared" si="0"/>
        <v>380910</v>
      </c>
    </row>
    <row r="14" spans="2:19" ht="14.15" customHeight="1" x14ac:dyDescent="0.3">
      <c r="B14" s="90">
        <v>26</v>
      </c>
      <c r="C14" s="126" t="s">
        <v>722</v>
      </c>
      <c r="D14" s="127" t="s">
        <v>723</v>
      </c>
      <c r="E14" s="125" t="s">
        <v>715</v>
      </c>
      <c r="F14" s="109" t="s">
        <v>701</v>
      </c>
      <c r="G14" s="126" t="s">
        <v>724</v>
      </c>
      <c r="H14" s="95" t="s">
        <v>717</v>
      </c>
      <c r="I14" s="95" t="s">
        <v>718</v>
      </c>
      <c r="J14" s="122">
        <v>8336223500</v>
      </c>
      <c r="K14" s="123" t="s">
        <v>725</v>
      </c>
      <c r="L14" s="115" t="s">
        <v>726</v>
      </c>
      <c r="M14" s="99" t="s">
        <v>677</v>
      </c>
      <c r="N14" s="99" t="s">
        <v>677</v>
      </c>
      <c r="O14" s="95" t="s">
        <v>701</v>
      </c>
      <c r="P14" s="90" t="s">
        <v>698</v>
      </c>
      <c r="Q14" s="87" t="s">
        <v>679</v>
      </c>
      <c r="R14" s="102">
        <v>6340</v>
      </c>
      <c r="S14" s="103">
        <f t="shared" si="0"/>
        <v>76080</v>
      </c>
    </row>
    <row r="15" spans="2:19" ht="14.15" customHeight="1" x14ac:dyDescent="0.3">
      <c r="B15" s="90">
        <v>5</v>
      </c>
      <c r="C15" s="91" t="s">
        <v>727</v>
      </c>
      <c r="D15" s="92" t="s">
        <v>669</v>
      </c>
      <c r="E15" s="128" t="s">
        <v>728</v>
      </c>
      <c r="F15" s="120" t="s">
        <v>671</v>
      </c>
      <c r="G15" s="91" t="s">
        <v>716</v>
      </c>
      <c r="H15" s="123" t="s">
        <v>729</v>
      </c>
      <c r="I15" s="95" t="s">
        <v>730</v>
      </c>
      <c r="J15" s="129">
        <v>6261235503</v>
      </c>
      <c r="K15" s="130" t="s">
        <v>731</v>
      </c>
      <c r="L15" s="131" t="s">
        <v>732</v>
      </c>
      <c r="M15" s="99" t="s">
        <v>677</v>
      </c>
      <c r="N15" s="99" t="s">
        <v>677</v>
      </c>
      <c r="O15" s="124" t="s">
        <v>671</v>
      </c>
      <c r="P15" s="101" t="s">
        <v>678</v>
      </c>
      <c r="Q15" s="87" t="s">
        <v>679</v>
      </c>
      <c r="R15" s="102">
        <v>2759.4666666666667</v>
      </c>
      <c r="S15" s="103">
        <f t="shared" si="0"/>
        <v>33113.599999999999</v>
      </c>
    </row>
    <row r="16" spans="2:19" ht="14.15" customHeight="1" x14ac:dyDescent="0.3">
      <c r="B16" s="90">
        <v>6</v>
      </c>
      <c r="C16" s="91" t="s">
        <v>733</v>
      </c>
      <c r="D16" s="92" t="s">
        <v>734</v>
      </c>
      <c r="E16" s="128" t="s">
        <v>735</v>
      </c>
      <c r="F16" s="94" t="s">
        <v>682</v>
      </c>
      <c r="G16" s="91" t="s">
        <v>716</v>
      </c>
      <c r="H16" s="123" t="s">
        <v>736</v>
      </c>
      <c r="I16" s="95" t="s">
        <v>737</v>
      </c>
      <c r="J16" s="129">
        <v>7076210300</v>
      </c>
      <c r="K16" s="130" t="s">
        <v>738</v>
      </c>
      <c r="L16" s="131" t="s">
        <v>732</v>
      </c>
      <c r="M16" s="99" t="s">
        <v>677</v>
      </c>
      <c r="N16" s="99" t="s">
        <v>677</v>
      </c>
      <c r="O16" s="100" t="s">
        <v>682</v>
      </c>
      <c r="P16" s="101" t="s">
        <v>678</v>
      </c>
      <c r="Q16" s="87" t="s">
        <v>679</v>
      </c>
      <c r="R16" s="102">
        <v>7853.8666666666659</v>
      </c>
      <c r="S16" s="103">
        <f t="shared" si="0"/>
        <v>94246.399999999994</v>
      </c>
    </row>
    <row r="17" spans="2:19" ht="14.15" customHeight="1" x14ac:dyDescent="0.3">
      <c r="B17" s="90">
        <v>7</v>
      </c>
      <c r="C17" s="91" t="s">
        <v>739</v>
      </c>
      <c r="D17" s="92" t="s">
        <v>734</v>
      </c>
      <c r="E17" s="128" t="s">
        <v>728</v>
      </c>
      <c r="F17" s="94" t="s">
        <v>740</v>
      </c>
      <c r="G17" s="91" t="s">
        <v>716</v>
      </c>
      <c r="H17" s="95" t="s">
        <v>741</v>
      </c>
      <c r="I17" s="95" t="s">
        <v>742</v>
      </c>
      <c r="J17" s="96">
        <v>7076210300</v>
      </c>
      <c r="K17" s="97" t="s">
        <v>738</v>
      </c>
      <c r="L17" s="98" t="s">
        <v>743</v>
      </c>
      <c r="M17" s="99" t="s">
        <v>677</v>
      </c>
      <c r="N17" s="99" t="s">
        <v>677</v>
      </c>
      <c r="O17" s="100" t="s">
        <v>740</v>
      </c>
      <c r="P17" s="101" t="s">
        <v>678</v>
      </c>
      <c r="Q17" s="87" t="s">
        <v>679</v>
      </c>
      <c r="R17" s="102">
        <v>1620</v>
      </c>
      <c r="S17" s="103">
        <f t="shared" si="0"/>
        <v>19440</v>
      </c>
    </row>
    <row r="18" spans="2:19" ht="14.15" customHeight="1" x14ac:dyDescent="0.3">
      <c r="B18" s="90">
        <v>2</v>
      </c>
      <c r="C18" s="91" t="s">
        <v>744</v>
      </c>
      <c r="D18" s="92" t="s">
        <v>669</v>
      </c>
      <c r="E18" s="93" t="s">
        <v>670</v>
      </c>
      <c r="F18" s="120" t="s">
        <v>671</v>
      </c>
      <c r="G18" s="91" t="s">
        <v>716</v>
      </c>
      <c r="H18" s="95" t="s">
        <v>745</v>
      </c>
      <c r="I18" s="95" t="s">
        <v>746</v>
      </c>
      <c r="J18" s="96">
        <v>6261235503</v>
      </c>
      <c r="K18" s="97" t="s">
        <v>731</v>
      </c>
      <c r="L18" s="98" t="s">
        <v>747</v>
      </c>
      <c r="M18" s="99" t="s">
        <v>677</v>
      </c>
      <c r="N18" s="99" t="s">
        <v>677</v>
      </c>
      <c r="O18" s="124" t="s">
        <v>671</v>
      </c>
      <c r="P18" s="101" t="s">
        <v>678</v>
      </c>
      <c r="Q18" s="87" t="s">
        <v>679</v>
      </c>
      <c r="R18" s="102">
        <v>3000</v>
      </c>
      <c r="S18" s="103">
        <f t="shared" si="0"/>
        <v>36000</v>
      </c>
    </row>
    <row r="19" spans="2:19" ht="14.15" customHeight="1" x14ac:dyDescent="0.3">
      <c r="B19" s="90">
        <v>4</v>
      </c>
      <c r="C19" s="91" t="s">
        <v>748</v>
      </c>
      <c r="D19" s="92" t="s">
        <v>700</v>
      </c>
      <c r="E19" s="93" t="s">
        <v>670</v>
      </c>
      <c r="F19" s="109" t="s">
        <v>701</v>
      </c>
      <c r="G19" s="91" t="s">
        <v>716</v>
      </c>
      <c r="H19" s="95" t="s">
        <v>745</v>
      </c>
      <c r="I19" s="95" t="s">
        <v>746</v>
      </c>
      <c r="J19" s="96">
        <v>1480820503</v>
      </c>
      <c r="K19" s="97" t="s">
        <v>719</v>
      </c>
      <c r="L19" s="98" t="s">
        <v>747</v>
      </c>
      <c r="M19" s="99" t="s">
        <v>677</v>
      </c>
      <c r="N19" s="99" t="s">
        <v>677</v>
      </c>
      <c r="O19" s="95" t="s">
        <v>701</v>
      </c>
      <c r="P19" s="90" t="s">
        <v>698</v>
      </c>
      <c r="Q19" s="87" t="s">
        <v>679</v>
      </c>
      <c r="R19" s="102">
        <v>5801.666666666667</v>
      </c>
      <c r="S19" s="103">
        <f t="shared" si="0"/>
        <v>69620</v>
      </c>
    </row>
    <row r="20" spans="2:19" ht="14.15" customHeight="1" x14ac:dyDescent="0.3">
      <c r="B20" s="90">
        <v>14</v>
      </c>
      <c r="C20" s="95" t="s">
        <v>749</v>
      </c>
      <c r="D20" s="132" t="s">
        <v>669</v>
      </c>
      <c r="E20" s="93" t="s">
        <v>670</v>
      </c>
      <c r="F20" s="120" t="s">
        <v>671</v>
      </c>
      <c r="G20" s="95" t="s">
        <v>750</v>
      </c>
      <c r="H20" s="95" t="s">
        <v>745</v>
      </c>
      <c r="I20" s="95" t="s">
        <v>746</v>
      </c>
      <c r="J20" s="96">
        <v>4055653202</v>
      </c>
      <c r="K20" s="97" t="s">
        <v>751</v>
      </c>
      <c r="L20" s="98" t="s">
        <v>676</v>
      </c>
      <c r="M20" s="99" t="s">
        <v>677</v>
      </c>
      <c r="N20" s="99" t="s">
        <v>677</v>
      </c>
      <c r="O20" s="124" t="s">
        <v>671</v>
      </c>
      <c r="P20" s="117" t="s">
        <v>714</v>
      </c>
      <c r="Q20" s="118" t="s">
        <v>710</v>
      </c>
      <c r="R20" s="102">
        <v>685.5</v>
      </c>
      <c r="S20" s="103">
        <f t="shared" si="0"/>
        <v>8226</v>
      </c>
    </row>
    <row r="21" spans="2:19" ht="14.15" customHeight="1" x14ac:dyDescent="0.3">
      <c r="B21" s="90">
        <v>15</v>
      </c>
      <c r="C21" s="95" t="s">
        <v>752</v>
      </c>
      <c r="D21" s="132" t="s">
        <v>700</v>
      </c>
      <c r="E21" s="93" t="s">
        <v>670</v>
      </c>
      <c r="F21" s="109" t="s">
        <v>701</v>
      </c>
      <c r="G21" s="95" t="s">
        <v>750</v>
      </c>
      <c r="H21" s="95" t="s">
        <v>745</v>
      </c>
      <c r="I21" s="95" t="s">
        <v>753</v>
      </c>
      <c r="J21" s="96">
        <v>5253136502</v>
      </c>
      <c r="K21" s="97" t="s">
        <v>754</v>
      </c>
      <c r="L21" s="95" t="s">
        <v>703</v>
      </c>
      <c r="M21" s="99" t="s">
        <v>677</v>
      </c>
      <c r="N21" s="99" t="s">
        <v>677</v>
      </c>
      <c r="O21" s="95" t="s">
        <v>701</v>
      </c>
      <c r="P21" s="117" t="s">
        <v>698</v>
      </c>
      <c r="Q21" s="118" t="s">
        <v>710</v>
      </c>
      <c r="R21" s="102">
        <v>10111</v>
      </c>
      <c r="S21" s="103">
        <f t="shared" si="0"/>
        <v>121332</v>
      </c>
    </row>
    <row r="22" spans="2:19" ht="14.15" customHeight="1" x14ac:dyDescent="0.3">
      <c r="B22" s="90">
        <v>16</v>
      </c>
      <c r="C22" s="91" t="s">
        <v>685</v>
      </c>
      <c r="D22" s="92" t="s">
        <v>686</v>
      </c>
      <c r="E22" s="93" t="s">
        <v>670</v>
      </c>
      <c r="F22" s="104" t="s">
        <v>687</v>
      </c>
      <c r="G22" s="91" t="s">
        <v>755</v>
      </c>
      <c r="H22" s="95" t="s">
        <v>745</v>
      </c>
      <c r="I22" s="95" t="s">
        <v>746</v>
      </c>
      <c r="J22" s="96" t="s">
        <v>689</v>
      </c>
      <c r="K22" s="97" t="s">
        <v>690</v>
      </c>
      <c r="L22" s="98" t="s">
        <v>743</v>
      </c>
      <c r="M22" s="105" t="s">
        <v>692</v>
      </c>
      <c r="N22" s="105" t="s">
        <v>692</v>
      </c>
      <c r="O22" s="106" t="s">
        <v>687</v>
      </c>
      <c r="P22" s="101" t="s">
        <v>678</v>
      </c>
      <c r="Q22" s="87" t="s">
        <v>679</v>
      </c>
      <c r="R22" s="102">
        <v>1200</v>
      </c>
      <c r="S22" s="103">
        <f t="shared" si="0"/>
        <v>14400</v>
      </c>
    </row>
    <row r="23" spans="2:19" ht="14.15" customHeight="1" x14ac:dyDescent="0.3">
      <c r="B23" s="90">
        <v>17</v>
      </c>
      <c r="C23" s="91" t="s">
        <v>693</v>
      </c>
      <c r="D23" s="92" t="s">
        <v>694</v>
      </c>
      <c r="E23" s="93" t="s">
        <v>670</v>
      </c>
      <c r="F23" s="107" t="s">
        <v>695</v>
      </c>
      <c r="G23" s="91" t="s">
        <v>755</v>
      </c>
      <c r="H23" s="95" t="s">
        <v>745</v>
      </c>
      <c r="I23" s="95" t="s">
        <v>753</v>
      </c>
      <c r="J23" s="96">
        <v>2448499802</v>
      </c>
      <c r="K23" s="97" t="s">
        <v>696</v>
      </c>
      <c r="L23" s="95" t="s">
        <v>756</v>
      </c>
      <c r="M23" s="105" t="s">
        <v>692</v>
      </c>
      <c r="N23" s="105" t="s">
        <v>692</v>
      </c>
      <c r="O23" s="108" t="s">
        <v>695</v>
      </c>
      <c r="P23" s="90" t="s">
        <v>698</v>
      </c>
      <c r="Q23" s="87" t="s">
        <v>679</v>
      </c>
      <c r="R23" s="102">
        <v>12000</v>
      </c>
      <c r="S23" s="103">
        <f t="shared" si="0"/>
        <v>144000</v>
      </c>
    </row>
    <row r="24" spans="2:19" ht="14.15" customHeight="1" x14ac:dyDescent="0.3">
      <c r="B24" s="90">
        <v>27</v>
      </c>
      <c r="C24" s="121" t="s">
        <v>757</v>
      </c>
      <c r="D24" s="133" t="s">
        <v>758</v>
      </c>
      <c r="E24" s="93" t="s">
        <v>670</v>
      </c>
      <c r="F24" s="113" t="s">
        <v>706</v>
      </c>
      <c r="G24" s="121" t="s">
        <v>759</v>
      </c>
      <c r="H24" s="95" t="s">
        <v>745</v>
      </c>
      <c r="I24" s="95" t="s">
        <v>753</v>
      </c>
      <c r="J24" s="122">
        <v>5057859300</v>
      </c>
      <c r="K24" s="123" t="s">
        <v>760</v>
      </c>
      <c r="L24" s="115" t="s">
        <v>761</v>
      </c>
      <c r="M24" s="134" t="s">
        <v>692</v>
      </c>
      <c r="N24" s="134" t="s">
        <v>692</v>
      </c>
      <c r="O24" s="116" t="s">
        <v>706</v>
      </c>
      <c r="P24" s="117" t="s">
        <v>698</v>
      </c>
      <c r="Q24" s="118" t="s">
        <v>710</v>
      </c>
      <c r="R24" s="102">
        <v>940</v>
      </c>
      <c r="S24" s="103">
        <f t="shared" si="0"/>
        <v>11280</v>
      </c>
    </row>
    <row r="25" spans="2:19" ht="14.15" customHeight="1" x14ac:dyDescent="0.3">
      <c r="B25" s="90">
        <v>3</v>
      </c>
      <c r="C25" s="91" t="s">
        <v>762</v>
      </c>
      <c r="D25" s="92" t="s">
        <v>681</v>
      </c>
      <c r="E25" s="93" t="s">
        <v>670</v>
      </c>
      <c r="F25" s="94" t="s">
        <v>682</v>
      </c>
      <c r="G25" s="91" t="s">
        <v>716</v>
      </c>
      <c r="H25" s="95" t="s">
        <v>745</v>
      </c>
      <c r="I25" s="95" t="s">
        <v>746</v>
      </c>
      <c r="J25" s="96">
        <v>7076210300</v>
      </c>
      <c r="K25" s="97" t="s">
        <v>738</v>
      </c>
      <c r="L25" s="98" t="s">
        <v>747</v>
      </c>
      <c r="M25" s="135" t="s">
        <v>677</v>
      </c>
      <c r="N25" s="135" t="s">
        <v>677</v>
      </c>
      <c r="O25" s="100" t="s">
        <v>682</v>
      </c>
      <c r="P25" s="101" t="s">
        <v>678</v>
      </c>
      <c r="Q25" s="87" t="s">
        <v>679</v>
      </c>
      <c r="R25" s="102">
        <v>27964.666666666668</v>
      </c>
      <c r="S25" s="103">
        <f t="shared" si="0"/>
        <v>335576</v>
      </c>
    </row>
    <row r="26" spans="2:19" ht="14.15" customHeight="1" x14ac:dyDescent="0.3">
      <c r="B26" s="90">
        <v>28</v>
      </c>
      <c r="C26" s="121" t="s">
        <v>704</v>
      </c>
      <c r="D26" s="119"/>
      <c r="E26" s="93" t="s">
        <v>670</v>
      </c>
      <c r="F26" s="136" t="s">
        <v>763</v>
      </c>
      <c r="G26" s="121" t="s">
        <v>764</v>
      </c>
      <c r="H26" s="95" t="s">
        <v>745</v>
      </c>
      <c r="I26" s="95" t="s">
        <v>753</v>
      </c>
      <c r="J26" s="121"/>
      <c r="K26" s="123" t="s">
        <v>765</v>
      </c>
      <c r="L26" s="115" t="s">
        <v>766</v>
      </c>
      <c r="M26" s="105" t="s">
        <v>692</v>
      </c>
      <c r="N26" s="105" t="s">
        <v>692</v>
      </c>
      <c r="O26" s="126" t="s">
        <v>763</v>
      </c>
      <c r="P26" s="117" t="s">
        <v>714</v>
      </c>
      <c r="Q26" s="118" t="s">
        <v>710</v>
      </c>
      <c r="R26" s="137">
        <v>3000</v>
      </c>
      <c r="S26" s="103">
        <f t="shared" si="0"/>
        <v>36000</v>
      </c>
    </row>
    <row r="27" spans="2:19" ht="14.15" customHeight="1" x14ac:dyDescent="0.3">
      <c r="B27" s="90">
        <v>18</v>
      </c>
      <c r="C27" s="91" t="s">
        <v>767</v>
      </c>
      <c r="D27" s="92" t="s">
        <v>768</v>
      </c>
      <c r="E27" s="128" t="s">
        <v>728</v>
      </c>
      <c r="F27" s="94" t="s">
        <v>769</v>
      </c>
      <c r="G27" s="91" t="s">
        <v>770</v>
      </c>
      <c r="H27" s="95" t="s">
        <v>771</v>
      </c>
      <c r="I27" s="95" t="s">
        <v>772</v>
      </c>
      <c r="J27" s="96">
        <v>9210452402</v>
      </c>
      <c r="K27" s="97" t="s">
        <v>773</v>
      </c>
      <c r="L27" s="98" t="s">
        <v>743</v>
      </c>
      <c r="M27" s="99" t="s">
        <v>677</v>
      </c>
      <c r="N27" s="99" t="s">
        <v>677</v>
      </c>
      <c r="O27" s="100" t="s">
        <v>769</v>
      </c>
      <c r="P27" s="101" t="s">
        <v>678</v>
      </c>
      <c r="Q27" s="87" t="s">
        <v>679</v>
      </c>
      <c r="R27" s="102">
        <v>28667.833333333332</v>
      </c>
      <c r="S27" s="103">
        <f t="shared" si="0"/>
        <v>344014</v>
      </c>
    </row>
    <row r="28" spans="2:19" ht="14.15" customHeight="1" x14ac:dyDescent="0.3">
      <c r="B28" s="90">
        <v>19</v>
      </c>
      <c r="C28" s="91" t="s">
        <v>774</v>
      </c>
      <c r="D28" s="92" t="s">
        <v>775</v>
      </c>
      <c r="E28" s="128" t="s">
        <v>728</v>
      </c>
      <c r="F28" s="113" t="s">
        <v>706</v>
      </c>
      <c r="G28" s="91" t="s">
        <v>770</v>
      </c>
      <c r="H28" s="95" t="s">
        <v>771</v>
      </c>
      <c r="I28" s="95" t="s">
        <v>772</v>
      </c>
      <c r="J28" s="96">
        <v>8615873602</v>
      </c>
      <c r="K28" s="97" t="s">
        <v>776</v>
      </c>
      <c r="L28" s="95" t="s">
        <v>756</v>
      </c>
      <c r="M28" s="99" t="s">
        <v>677</v>
      </c>
      <c r="N28" s="99" t="s">
        <v>677</v>
      </c>
      <c r="O28" s="116" t="s">
        <v>706</v>
      </c>
      <c r="P28" s="90" t="s">
        <v>698</v>
      </c>
      <c r="Q28" s="87" t="s">
        <v>679</v>
      </c>
      <c r="R28" s="102">
        <v>15436.5</v>
      </c>
      <c r="S28" s="103">
        <f t="shared" si="0"/>
        <v>185238</v>
      </c>
    </row>
    <row r="29" spans="2:19" ht="14.15" customHeight="1" x14ac:dyDescent="0.3">
      <c r="B29" s="90">
        <v>25</v>
      </c>
      <c r="C29" s="121" t="s">
        <v>774</v>
      </c>
      <c r="D29" s="133" t="s">
        <v>775</v>
      </c>
      <c r="E29" s="128" t="s">
        <v>728</v>
      </c>
      <c r="F29" s="113" t="s">
        <v>706</v>
      </c>
      <c r="G29" s="121" t="s">
        <v>777</v>
      </c>
      <c r="H29" s="95" t="s">
        <v>771</v>
      </c>
      <c r="I29" s="95" t="s">
        <v>772</v>
      </c>
      <c r="J29" s="96">
        <v>8615873602</v>
      </c>
      <c r="K29" s="97" t="s">
        <v>776</v>
      </c>
      <c r="L29" s="115" t="s">
        <v>778</v>
      </c>
      <c r="M29" s="99" t="s">
        <v>677</v>
      </c>
      <c r="N29" s="99" t="s">
        <v>677</v>
      </c>
      <c r="O29" s="116" t="s">
        <v>706</v>
      </c>
      <c r="P29" s="90" t="s">
        <v>698</v>
      </c>
      <c r="Q29" s="87" t="s">
        <v>679</v>
      </c>
      <c r="R29" s="102">
        <v>8323</v>
      </c>
      <c r="S29" s="103">
        <f t="shared" si="0"/>
        <v>99876</v>
      </c>
    </row>
    <row r="30" spans="2:19" ht="14.15" customHeight="1" x14ac:dyDescent="0.3">
      <c r="B30" s="90">
        <v>23</v>
      </c>
      <c r="C30" s="121" t="s">
        <v>779</v>
      </c>
      <c r="D30" s="133" t="s">
        <v>758</v>
      </c>
      <c r="E30" s="128" t="s">
        <v>728</v>
      </c>
      <c r="F30" s="113" t="s">
        <v>706</v>
      </c>
      <c r="G30" s="121" t="s">
        <v>780</v>
      </c>
      <c r="H30" s="95" t="s">
        <v>771</v>
      </c>
      <c r="I30" s="95" t="s">
        <v>772</v>
      </c>
      <c r="J30" s="122">
        <v>5057859300</v>
      </c>
      <c r="K30" s="123" t="s">
        <v>760</v>
      </c>
      <c r="L30" s="115" t="s">
        <v>781</v>
      </c>
      <c r="M30" s="105" t="s">
        <v>692</v>
      </c>
      <c r="N30" s="105" t="s">
        <v>692</v>
      </c>
      <c r="O30" s="116" t="s">
        <v>706</v>
      </c>
      <c r="P30" s="90" t="s">
        <v>698</v>
      </c>
      <c r="Q30" s="87" t="s">
        <v>679</v>
      </c>
      <c r="R30" s="102">
        <v>14137.833333333334</v>
      </c>
      <c r="S30" s="103">
        <f t="shared" si="0"/>
        <v>169654</v>
      </c>
    </row>
    <row r="31" spans="2:19" ht="14.15" customHeight="1" x14ac:dyDescent="0.3">
      <c r="B31" s="90">
        <v>24</v>
      </c>
      <c r="C31" s="126" t="s">
        <v>782</v>
      </c>
      <c r="D31" s="127" t="s">
        <v>686</v>
      </c>
      <c r="E31" s="128" t="s">
        <v>728</v>
      </c>
      <c r="F31" s="136" t="s">
        <v>687</v>
      </c>
      <c r="G31" s="126" t="s">
        <v>780</v>
      </c>
      <c r="H31" s="95" t="s">
        <v>771</v>
      </c>
      <c r="I31" s="95" t="s">
        <v>772</v>
      </c>
      <c r="J31" s="122">
        <v>3230593800</v>
      </c>
      <c r="K31" s="123" t="s">
        <v>783</v>
      </c>
      <c r="L31" s="115" t="s">
        <v>781</v>
      </c>
      <c r="M31" s="134" t="s">
        <v>692</v>
      </c>
      <c r="N31" s="134" t="s">
        <v>692</v>
      </c>
      <c r="O31" s="126" t="s">
        <v>687</v>
      </c>
      <c r="P31" s="117" t="s">
        <v>714</v>
      </c>
      <c r="Q31" s="118" t="s">
        <v>710</v>
      </c>
      <c r="R31" s="137">
        <v>2000</v>
      </c>
      <c r="S31" s="103">
        <f t="shared" si="0"/>
        <v>24000</v>
      </c>
    </row>
    <row r="32" spans="2:19" ht="14.15" customHeight="1" x14ac:dyDescent="0.3">
      <c r="B32" s="138">
        <v>22</v>
      </c>
      <c r="C32" s="139" t="s">
        <v>784</v>
      </c>
      <c r="D32" s="140" t="s">
        <v>785</v>
      </c>
      <c r="E32" s="141" t="s">
        <v>728</v>
      </c>
      <c r="F32" s="142" t="s">
        <v>687</v>
      </c>
      <c r="G32" s="139" t="s">
        <v>786</v>
      </c>
      <c r="H32" s="143" t="s">
        <v>771</v>
      </c>
      <c r="I32" s="143" t="s">
        <v>772</v>
      </c>
      <c r="J32" s="144">
        <v>4949673700</v>
      </c>
      <c r="K32" s="123" t="s">
        <v>787</v>
      </c>
      <c r="L32" s="145" t="s">
        <v>781</v>
      </c>
      <c r="M32" s="134" t="s">
        <v>692</v>
      </c>
      <c r="N32" s="134" t="s">
        <v>692</v>
      </c>
      <c r="O32" s="146" t="s">
        <v>687</v>
      </c>
      <c r="P32" s="101" t="s">
        <v>678</v>
      </c>
      <c r="Q32" s="87" t="s">
        <v>679</v>
      </c>
      <c r="R32" s="147">
        <v>16402.833333333332</v>
      </c>
      <c r="S32" s="148">
        <f t="shared" si="0"/>
        <v>196834</v>
      </c>
    </row>
    <row r="33" spans="2:19" ht="14.15" customHeight="1" x14ac:dyDescent="0.3">
      <c r="B33" s="149">
        <v>29</v>
      </c>
      <c r="C33" s="150" t="s">
        <v>704</v>
      </c>
      <c r="D33" s="151" t="s">
        <v>686</v>
      </c>
      <c r="E33" s="152" t="s">
        <v>728</v>
      </c>
      <c r="F33" s="153" t="s">
        <v>687</v>
      </c>
      <c r="G33" s="150" t="s">
        <v>788</v>
      </c>
      <c r="H33" s="154" t="s">
        <v>771</v>
      </c>
      <c r="I33" s="154" t="s">
        <v>772</v>
      </c>
      <c r="J33" s="150"/>
      <c r="K33" s="123" t="s">
        <v>789</v>
      </c>
      <c r="L33" s="155"/>
      <c r="M33" s="134" t="s">
        <v>692</v>
      </c>
      <c r="N33" s="134" t="s">
        <v>692</v>
      </c>
      <c r="O33" s="156" t="s">
        <v>687</v>
      </c>
      <c r="P33" s="101" t="s">
        <v>678</v>
      </c>
      <c r="Q33" s="87" t="s">
        <v>679</v>
      </c>
      <c r="R33" s="157"/>
      <c r="S33" s="158"/>
    </row>
    <row r="34" spans="2:19" ht="14.15" customHeight="1" x14ac:dyDescent="0.3">
      <c r="B34" s="149">
        <v>30</v>
      </c>
      <c r="C34" s="150" t="s">
        <v>704</v>
      </c>
      <c r="D34" s="151" t="s">
        <v>758</v>
      </c>
      <c r="E34" s="152" t="s">
        <v>728</v>
      </c>
      <c r="F34" s="159" t="s">
        <v>706</v>
      </c>
      <c r="G34" s="150" t="s">
        <v>788</v>
      </c>
      <c r="H34" s="154" t="s">
        <v>771</v>
      </c>
      <c r="I34" s="154" t="s">
        <v>772</v>
      </c>
      <c r="J34" s="150"/>
      <c r="K34" s="123" t="s">
        <v>790</v>
      </c>
      <c r="L34" s="155"/>
      <c r="M34" s="134" t="s">
        <v>692</v>
      </c>
      <c r="N34" s="134" t="s">
        <v>692</v>
      </c>
      <c r="O34" s="160" t="s">
        <v>706</v>
      </c>
      <c r="P34" s="90" t="s">
        <v>698</v>
      </c>
      <c r="Q34" s="87" t="s">
        <v>679</v>
      </c>
      <c r="R34" s="157"/>
      <c r="S34" s="158"/>
    </row>
    <row r="35" spans="2:19" ht="14.15" customHeight="1" x14ac:dyDescent="0.3">
      <c r="B35" s="161">
        <v>31</v>
      </c>
      <c r="C35" s="162" t="s">
        <v>704</v>
      </c>
      <c r="D35" s="163" t="s">
        <v>694</v>
      </c>
      <c r="E35" s="164" t="s">
        <v>728</v>
      </c>
      <c r="F35" s="165" t="s">
        <v>695</v>
      </c>
      <c r="G35" s="162" t="s">
        <v>791</v>
      </c>
      <c r="H35" s="166" t="s">
        <v>771</v>
      </c>
      <c r="I35" s="166" t="s">
        <v>772</v>
      </c>
      <c r="J35" s="162"/>
      <c r="K35" s="167" t="s">
        <v>792</v>
      </c>
      <c r="L35" s="168"/>
      <c r="M35" s="169" t="s">
        <v>692</v>
      </c>
      <c r="N35" s="169" t="s">
        <v>692</v>
      </c>
      <c r="O35" s="170" t="s">
        <v>695</v>
      </c>
      <c r="P35" s="161" t="s">
        <v>698</v>
      </c>
      <c r="Q35" s="171" t="s">
        <v>679</v>
      </c>
      <c r="R35" s="172"/>
      <c r="S35" s="173"/>
    </row>
    <row r="36" spans="2:19" ht="14.15" customHeight="1" x14ac:dyDescent="0.55000000000000004">
      <c r="R36" s="174">
        <f>SUM(R5:R32)</f>
        <v>346930.33333333331</v>
      </c>
      <c r="S36" s="174">
        <f>SUM(S5:S32)</f>
        <v>4163164</v>
      </c>
    </row>
    <row r="37" spans="2:19" ht="14.15" customHeight="1" x14ac:dyDescent="0.55000000000000004">
      <c r="R37" s="174"/>
      <c r="S37" s="174"/>
    </row>
  </sheetData>
  <autoFilter ref="B4:S36" xr:uid="{AACCF1DA-8E39-40A9-B962-C8F854B2CF49}"/>
  <phoneticPr fontId="1"/>
  <conditionalFormatting sqref="F5:F35">
    <cfRule type="colorScale" priority="1">
      <colorScale>
        <cfvo type="min"/>
        <cfvo type="percentile" val="50"/>
        <cfvo type="max"/>
        <color rgb="FFF8696B"/>
        <color rgb="FFFFEB84"/>
        <color rgb="FF63BE7B"/>
      </colorScale>
    </cfRule>
  </conditionalFormatting>
  <conditionalFormatting sqref="O5:O35">
    <cfRule type="colorScale" priority="2">
      <colorScale>
        <cfvo type="min"/>
        <cfvo type="percentile" val="50"/>
        <cfvo type="max"/>
        <color rgb="FFF8696B"/>
        <color rgb="FFFFEB84"/>
        <color rgb="FF63BE7B"/>
      </colorScale>
    </cfRule>
  </conditionalFormatting>
  <pageMargins left="0.25" right="0.25" top="0.75" bottom="0.75" header="0.3" footer="0.3"/>
  <pageSetup paperSize="9" scale="5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pageSetUpPr fitToPage="1"/>
  </sheetPr>
  <dimension ref="A2:U15"/>
  <sheetViews>
    <sheetView workbookViewId="0"/>
  </sheetViews>
  <sheetFormatPr defaultColWidth="9" defaultRowHeight="13" x14ac:dyDescent="0.55000000000000004"/>
  <cols>
    <col min="1" max="3" width="9" style="1"/>
    <col min="4" max="4" width="7.58203125" style="1" customWidth="1"/>
    <col min="5" max="5" width="10" style="1" customWidth="1"/>
    <col min="6" max="7" width="14.08203125" style="1" customWidth="1"/>
    <col min="8" max="8" width="16.08203125" style="1" customWidth="1"/>
    <col min="9" max="9" width="16.08203125" style="1" hidden="1" customWidth="1"/>
    <col min="10" max="10" width="16.08203125" style="1" customWidth="1"/>
    <col min="11" max="11" width="45.33203125" style="1" customWidth="1"/>
    <col min="12" max="13" width="16.08203125" style="1" customWidth="1"/>
    <col min="14" max="14" width="17.33203125" style="1" customWidth="1"/>
    <col min="15" max="15" width="16.08203125" style="1" customWidth="1"/>
    <col min="16" max="16" width="26.08203125" style="1" customWidth="1"/>
    <col min="17" max="17" width="23.33203125" style="1" customWidth="1"/>
    <col min="18" max="18" width="41.08203125" style="1" customWidth="1"/>
    <col min="19" max="19" width="43.58203125" style="1" customWidth="1"/>
    <col min="20" max="20" width="51.58203125" style="1" customWidth="1"/>
    <col min="21" max="21" width="44" style="1" customWidth="1"/>
    <col min="22" max="16384" width="9" style="1"/>
  </cols>
  <sheetData>
    <row r="2" spans="1:21" x14ac:dyDescent="0.55000000000000004">
      <c r="S2" s="2"/>
    </row>
    <row r="3" spans="1:21" x14ac:dyDescent="0.55000000000000004">
      <c r="B3" s="1" t="s">
        <v>66</v>
      </c>
      <c r="S3" s="2" t="s">
        <v>39</v>
      </c>
    </row>
    <row r="4" spans="1:21" x14ac:dyDescent="0.55000000000000004">
      <c r="S4" s="2" t="s">
        <v>21</v>
      </c>
    </row>
    <row r="5" spans="1:21" ht="35.25" customHeight="1" x14ac:dyDescent="0.55000000000000004">
      <c r="B5" s="7" t="s">
        <v>0</v>
      </c>
      <c r="C5" s="251" t="s">
        <v>1</v>
      </c>
      <c r="D5" s="252"/>
      <c r="E5" s="7" t="s">
        <v>18</v>
      </c>
      <c r="F5" s="7" t="s">
        <v>16</v>
      </c>
      <c r="G5" s="7"/>
      <c r="H5" s="7" t="s">
        <v>3</v>
      </c>
      <c r="I5" s="7" t="s">
        <v>6</v>
      </c>
      <c r="J5" s="7" t="s">
        <v>25</v>
      </c>
      <c r="K5" s="7" t="s">
        <v>4</v>
      </c>
      <c r="L5" s="7" t="s">
        <v>17</v>
      </c>
      <c r="M5" s="7" t="s">
        <v>7</v>
      </c>
      <c r="N5" s="7" t="s">
        <v>27</v>
      </c>
      <c r="O5" s="7" t="s">
        <v>26</v>
      </c>
      <c r="P5" s="7" t="s">
        <v>11</v>
      </c>
      <c r="Q5" s="7" t="s">
        <v>12</v>
      </c>
      <c r="R5" s="7" t="s">
        <v>13</v>
      </c>
      <c r="S5" s="7" t="s">
        <v>14</v>
      </c>
      <c r="T5" s="7" t="s">
        <v>23</v>
      </c>
      <c r="U5" s="7" t="s">
        <v>24</v>
      </c>
    </row>
    <row r="6" spans="1:21" ht="78.75" customHeight="1" x14ac:dyDescent="0.55000000000000004">
      <c r="A6" s="1">
        <v>1</v>
      </c>
      <c r="B6" s="7" t="s">
        <v>28</v>
      </c>
      <c r="C6" s="7" t="s">
        <v>8</v>
      </c>
      <c r="D6" s="7" t="s">
        <v>9</v>
      </c>
      <c r="E6" s="3" t="s">
        <v>35</v>
      </c>
      <c r="F6" s="3" t="s">
        <v>2</v>
      </c>
      <c r="G6" s="3" t="s">
        <v>29</v>
      </c>
      <c r="H6" s="4">
        <v>44921</v>
      </c>
      <c r="I6" s="4"/>
      <c r="J6" s="5" t="s">
        <v>42</v>
      </c>
      <c r="K6" s="3" t="s">
        <v>5</v>
      </c>
      <c r="L6" s="3" t="s">
        <v>30</v>
      </c>
      <c r="M6" s="3" t="s">
        <v>73</v>
      </c>
      <c r="N6" s="3" t="s">
        <v>72</v>
      </c>
      <c r="O6" s="4">
        <v>44891</v>
      </c>
      <c r="P6" s="9" t="s">
        <v>69</v>
      </c>
      <c r="Q6" s="10"/>
      <c r="R6" s="9" t="s">
        <v>68</v>
      </c>
      <c r="S6" s="9" t="s">
        <v>74</v>
      </c>
      <c r="T6" s="253" t="s">
        <v>41</v>
      </c>
      <c r="U6" s="248" t="s">
        <v>45</v>
      </c>
    </row>
    <row r="7" spans="1:21" ht="78.75" customHeight="1" x14ac:dyDescent="0.55000000000000004">
      <c r="A7" s="1">
        <v>2</v>
      </c>
      <c r="B7" s="7" t="s">
        <v>28</v>
      </c>
      <c r="C7" s="7" t="s">
        <v>8</v>
      </c>
      <c r="D7" s="7" t="s">
        <v>9</v>
      </c>
      <c r="E7" s="3" t="s">
        <v>35</v>
      </c>
      <c r="F7" s="3" t="s">
        <v>10</v>
      </c>
      <c r="G7" s="3" t="s">
        <v>37</v>
      </c>
      <c r="H7" s="4">
        <v>44897</v>
      </c>
      <c r="I7" s="4">
        <v>44929</v>
      </c>
      <c r="J7" s="5" t="s">
        <v>43</v>
      </c>
      <c r="K7" s="3" t="s">
        <v>5</v>
      </c>
      <c r="L7" s="3" t="s">
        <v>30</v>
      </c>
      <c r="M7" s="3"/>
      <c r="N7" s="3"/>
      <c r="O7" s="3"/>
      <c r="P7" s="10" t="s">
        <v>71</v>
      </c>
      <c r="Q7" s="10"/>
      <c r="R7" s="10" t="s">
        <v>70</v>
      </c>
      <c r="S7" s="9" t="s">
        <v>75</v>
      </c>
      <c r="T7" s="254"/>
      <c r="U7" s="249"/>
    </row>
    <row r="8" spans="1:21" ht="78.75" customHeight="1" x14ac:dyDescent="0.55000000000000004">
      <c r="A8" s="1">
        <v>3</v>
      </c>
      <c r="B8" s="7" t="s">
        <v>28</v>
      </c>
      <c r="C8" s="7" t="s">
        <v>8</v>
      </c>
      <c r="D8" s="7" t="s">
        <v>9</v>
      </c>
      <c r="E8" s="3" t="s">
        <v>22</v>
      </c>
      <c r="F8" s="3" t="s">
        <v>10</v>
      </c>
      <c r="G8" s="5" t="s">
        <v>38</v>
      </c>
      <c r="H8" s="4">
        <v>44929</v>
      </c>
      <c r="I8" s="4" t="s">
        <v>31</v>
      </c>
      <c r="J8" s="3" t="s">
        <v>19</v>
      </c>
      <c r="K8" s="3" t="s">
        <v>5</v>
      </c>
      <c r="L8" s="3" t="s">
        <v>30</v>
      </c>
      <c r="M8" s="3"/>
      <c r="N8" s="3"/>
      <c r="O8" s="3"/>
      <c r="P8" s="3"/>
      <c r="Q8" s="3"/>
      <c r="R8" s="3"/>
      <c r="S8" s="3" t="s">
        <v>67</v>
      </c>
      <c r="T8" s="254"/>
      <c r="U8" s="249"/>
    </row>
    <row r="9" spans="1:21" ht="78.75" customHeight="1" x14ac:dyDescent="0.55000000000000004">
      <c r="A9" s="1">
        <v>4</v>
      </c>
      <c r="B9" s="16"/>
      <c r="C9" s="16"/>
      <c r="D9" s="16"/>
      <c r="E9" s="3"/>
      <c r="F9" s="3"/>
      <c r="G9" s="3"/>
      <c r="H9" s="4"/>
      <c r="I9" s="4"/>
      <c r="J9" s="5"/>
      <c r="K9" s="3"/>
      <c r="L9" s="3"/>
      <c r="M9" s="3"/>
      <c r="N9" s="3"/>
      <c r="O9" s="3"/>
      <c r="P9" s="3"/>
      <c r="Q9" s="3"/>
      <c r="R9" s="3"/>
      <c r="S9" s="5"/>
      <c r="T9" s="255"/>
      <c r="U9" s="250"/>
    </row>
    <row r="10" spans="1:21" ht="78.75" customHeight="1" x14ac:dyDescent="0.55000000000000004"/>
    <row r="11" spans="1:21" ht="36.75" customHeight="1" x14ac:dyDescent="0.55000000000000004"/>
    <row r="12" spans="1:21" ht="36.75" customHeight="1" x14ac:dyDescent="0.55000000000000004"/>
    <row r="13" spans="1:21" ht="36.75" customHeight="1" x14ac:dyDescent="0.55000000000000004"/>
    <row r="14" spans="1:21" ht="36.75" customHeight="1" x14ac:dyDescent="0.55000000000000004"/>
    <row r="15" spans="1:21" ht="50.25" customHeight="1" x14ac:dyDescent="0.55000000000000004"/>
  </sheetData>
  <mergeCells count="3">
    <mergeCell ref="U6:U9"/>
    <mergeCell ref="C5:D5"/>
    <mergeCell ref="T6:T9"/>
  </mergeCells>
  <phoneticPr fontId="1"/>
  <pageMargins left="0.70866141732283472" right="0.70866141732283472" top="0.74803149606299213" bottom="0.74803149606299213" header="0.31496062992125984" footer="0.31496062992125984"/>
  <pageSetup paperSize="9" scale="4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pageSetUpPr fitToPage="1"/>
  </sheetPr>
  <dimension ref="B2:V22"/>
  <sheetViews>
    <sheetView workbookViewId="0"/>
  </sheetViews>
  <sheetFormatPr defaultColWidth="9" defaultRowHeight="13" x14ac:dyDescent="0.55000000000000004"/>
  <cols>
    <col min="1" max="3" width="9" style="1"/>
    <col min="4" max="4" width="7.58203125" style="1" customWidth="1"/>
    <col min="5" max="5" width="10" style="1" customWidth="1"/>
    <col min="6" max="6" width="9.08203125" style="1" customWidth="1"/>
    <col min="7" max="7" width="14.08203125" style="1" customWidth="1"/>
    <col min="8" max="8" width="13.58203125" style="1" customWidth="1"/>
    <col min="9" max="10" width="16.08203125" style="1" customWidth="1"/>
    <col min="11" max="11" width="45.33203125" style="1" customWidth="1"/>
    <col min="12" max="13" width="16.08203125" style="1" customWidth="1"/>
    <col min="14" max="14" width="17.83203125" style="1" customWidth="1"/>
    <col min="15" max="15" width="16.08203125" style="1" customWidth="1"/>
    <col min="16" max="16" width="26.08203125" style="1" customWidth="1"/>
    <col min="17" max="17" width="23.33203125" style="1" customWidth="1"/>
    <col min="18" max="18" width="41.08203125" style="1" customWidth="1"/>
    <col min="19" max="19" width="43.58203125" style="1" customWidth="1"/>
    <col min="20" max="20" width="51.58203125" style="1" customWidth="1"/>
    <col min="21" max="21" width="44" style="1" customWidth="1"/>
    <col min="22" max="16384" width="9" style="1"/>
  </cols>
  <sheetData>
    <row r="2" spans="2:22" x14ac:dyDescent="0.55000000000000004">
      <c r="S2" s="2"/>
    </row>
    <row r="3" spans="2:22" x14ac:dyDescent="0.55000000000000004">
      <c r="B3" s="1" t="s">
        <v>65</v>
      </c>
      <c r="S3" s="2" t="s">
        <v>39</v>
      </c>
    </row>
    <row r="4" spans="2:22" x14ac:dyDescent="0.55000000000000004">
      <c r="S4" s="2" t="s">
        <v>21</v>
      </c>
    </row>
    <row r="5" spans="2:22" ht="35.25" customHeight="1" x14ac:dyDescent="0.55000000000000004">
      <c r="B5" s="7" t="s">
        <v>0</v>
      </c>
      <c r="C5" s="251" t="s">
        <v>1</v>
      </c>
      <c r="D5" s="252"/>
      <c r="E5" s="7" t="s">
        <v>18</v>
      </c>
      <c r="F5" s="7" t="s">
        <v>16</v>
      </c>
      <c r="G5" s="7"/>
      <c r="H5" s="7" t="s">
        <v>3</v>
      </c>
      <c r="I5" s="7" t="s">
        <v>6</v>
      </c>
      <c r="J5" s="7" t="s">
        <v>25</v>
      </c>
      <c r="K5" s="7" t="s">
        <v>4</v>
      </c>
      <c r="L5" s="7" t="s">
        <v>17</v>
      </c>
      <c r="M5" s="7" t="s">
        <v>7</v>
      </c>
      <c r="N5" s="7" t="s">
        <v>27</v>
      </c>
      <c r="O5" s="7" t="s">
        <v>26</v>
      </c>
      <c r="P5" s="7" t="s">
        <v>11</v>
      </c>
      <c r="Q5" s="7" t="s">
        <v>12</v>
      </c>
      <c r="R5" s="7" t="s">
        <v>13</v>
      </c>
      <c r="S5" s="7" t="s">
        <v>14</v>
      </c>
      <c r="T5" s="7" t="s">
        <v>23</v>
      </c>
      <c r="U5" s="7" t="s">
        <v>24</v>
      </c>
    </row>
    <row r="6" spans="2:22" ht="195" customHeight="1" x14ac:dyDescent="0.55000000000000004">
      <c r="B6" s="14" t="s">
        <v>32</v>
      </c>
      <c r="C6" s="3" t="s">
        <v>33</v>
      </c>
      <c r="D6" s="3" t="s">
        <v>34</v>
      </c>
      <c r="E6" s="3" t="s">
        <v>35</v>
      </c>
      <c r="F6" s="3" t="s">
        <v>2</v>
      </c>
      <c r="G6" s="3"/>
      <c r="H6" s="4">
        <v>44932</v>
      </c>
      <c r="I6" s="4">
        <v>44932</v>
      </c>
      <c r="J6" s="5" t="s">
        <v>63</v>
      </c>
      <c r="K6" s="5" t="s">
        <v>36</v>
      </c>
      <c r="L6" s="3" t="s">
        <v>30</v>
      </c>
      <c r="M6" s="10" t="s">
        <v>46</v>
      </c>
      <c r="N6" s="10" t="s">
        <v>56</v>
      </c>
      <c r="O6" s="11">
        <v>44895</v>
      </c>
      <c r="P6" s="9" t="s">
        <v>48</v>
      </c>
      <c r="Q6" s="10" t="s">
        <v>47</v>
      </c>
      <c r="R6" s="9" t="s">
        <v>49</v>
      </c>
      <c r="S6" s="9" t="s">
        <v>50</v>
      </c>
      <c r="T6" s="8" t="s">
        <v>40</v>
      </c>
      <c r="U6" s="8" t="s">
        <v>44</v>
      </c>
      <c r="V6" s="6"/>
    </row>
    <row r="7" spans="2:22" ht="164.25" customHeight="1" x14ac:dyDescent="0.55000000000000004">
      <c r="B7" s="7" t="s">
        <v>32</v>
      </c>
      <c r="C7" s="10" t="s">
        <v>61</v>
      </c>
      <c r="D7" s="10" t="s">
        <v>51</v>
      </c>
      <c r="E7" s="10" t="s">
        <v>62</v>
      </c>
      <c r="F7" s="10" t="s">
        <v>52</v>
      </c>
      <c r="G7" s="9" t="s">
        <v>53</v>
      </c>
      <c r="H7" s="13">
        <v>44652</v>
      </c>
      <c r="I7" s="13">
        <v>44682</v>
      </c>
      <c r="J7" s="12">
        <v>44621</v>
      </c>
      <c r="K7" s="10" t="s">
        <v>54</v>
      </c>
      <c r="L7" s="10" t="s">
        <v>30</v>
      </c>
      <c r="M7" s="10" t="s">
        <v>55</v>
      </c>
      <c r="N7" s="10" t="s">
        <v>57</v>
      </c>
      <c r="O7" s="11">
        <v>44609</v>
      </c>
      <c r="P7" s="9" t="s">
        <v>58</v>
      </c>
      <c r="Q7" s="10" t="s">
        <v>47</v>
      </c>
      <c r="R7" s="9" t="s">
        <v>59</v>
      </c>
      <c r="S7" s="10" t="s">
        <v>60</v>
      </c>
      <c r="T7" s="10"/>
      <c r="U7" s="10"/>
    </row>
    <row r="8" spans="2:22" ht="149.25" customHeight="1" x14ac:dyDescent="0.55000000000000004">
      <c r="B8" s="15"/>
    </row>
    <row r="9" spans="2:22" ht="152.25" customHeight="1" x14ac:dyDescent="0.55000000000000004"/>
    <row r="10" spans="2:22" ht="55.5" customHeight="1" x14ac:dyDescent="0.55000000000000004"/>
    <row r="11" spans="2:22" ht="96.75" customHeight="1" x14ac:dyDescent="0.55000000000000004"/>
    <row r="12" spans="2:22" ht="36.75" customHeight="1" x14ac:dyDescent="0.55000000000000004"/>
    <row r="13" spans="2:22" ht="36.75" customHeight="1" x14ac:dyDescent="0.55000000000000004"/>
    <row r="14" spans="2:22" ht="36.75" customHeight="1" x14ac:dyDescent="0.55000000000000004"/>
    <row r="15" spans="2:22" ht="36.75" customHeight="1" x14ac:dyDescent="0.55000000000000004"/>
    <row r="16" spans="2:22" ht="36.75" customHeight="1" x14ac:dyDescent="0.55000000000000004"/>
    <row r="17" ht="36.75" customHeight="1" x14ac:dyDescent="0.55000000000000004"/>
    <row r="18" ht="36.75" customHeight="1" x14ac:dyDescent="0.55000000000000004"/>
    <row r="19" ht="36.75" customHeight="1" x14ac:dyDescent="0.55000000000000004"/>
    <row r="20" ht="36.75" customHeight="1" x14ac:dyDescent="0.55000000000000004"/>
    <row r="21" ht="36.75" customHeight="1" x14ac:dyDescent="0.55000000000000004"/>
    <row r="22" ht="50.25" customHeight="1" x14ac:dyDescent="0.55000000000000004"/>
  </sheetData>
  <mergeCells count="1">
    <mergeCell ref="C5:D5"/>
  </mergeCells>
  <phoneticPr fontId="1"/>
  <pageMargins left="0.70866141732283472" right="0.70866141732283472" top="0.74803149606299213" bottom="0.74803149606299213" header="0.31496062992125984" footer="0.31496062992125984"/>
  <pageSetup paperSize="9" scale="44"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dimension ref="B2:V21"/>
  <sheetViews>
    <sheetView workbookViewId="0"/>
  </sheetViews>
  <sheetFormatPr defaultColWidth="9" defaultRowHeight="13" x14ac:dyDescent="0.55000000000000004"/>
  <cols>
    <col min="1" max="3" width="9" style="1"/>
    <col min="4" max="4" width="7.58203125" style="1" customWidth="1"/>
    <col min="5" max="5" width="10" style="1" customWidth="1"/>
    <col min="6" max="7" width="14.08203125" style="1" customWidth="1"/>
    <col min="8" max="8" width="16.08203125" style="1" customWidth="1"/>
    <col min="9" max="9" width="16.08203125" style="1" hidden="1" customWidth="1"/>
    <col min="10" max="10" width="16.08203125" style="1" customWidth="1"/>
    <col min="11" max="11" width="45.33203125" style="1" customWidth="1"/>
    <col min="12" max="15" width="16.08203125" style="1" customWidth="1"/>
    <col min="16" max="16" width="26.08203125" style="1" customWidth="1"/>
    <col min="17" max="17" width="23.33203125" style="1" customWidth="1"/>
    <col min="18" max="18" width="41.08203125" style="1" customWidth="1"/>
    <col min="19" max="19" width="43.58203125" style="1" customWidth="1"/>
    <col min="20" max="20" width="51.58203125" style="1" customWidth="1"/>
    <col min="21" max="21" width="44" style="1" customWidth="1"/>
    <col min="22" max="16384" width="9" style="1"/>
  </cols>
  <sheetData>
    <row r="2" spans="2:22" x14ac:dyDescent="0.55000000000000004">
      <c r="S2" s="2"/>
    </row>
    <row r="3" spans="2:22" x14ac:dyDescent="0.55000000000000004">
      <c r="B3" s="1" t="s">
        <v>78</v>
      </c>
      <c r="S3" s="2" t="s">
        <v>39</v>
      </c>
    </row>
    <row r="4" spans="2:22" x14ac:dyDescent="0.55000000000000004">
      <c r="S4" s="2" t="s">
        <v>21</v>
      </c>
    </row>
    <row r="5" spans="2:22" ht="35.25" customHeight="1" x14ac:dyDescent="0.55000000000000004">
      <c r="B5" s="7" t="s">
        <v>0</v>
      </c>
      <c r="C5" s="251" t="s">
        <v>1</v>
      </c>
      <c r="D5" s="252"/>
      <c r="E5" s="7" t="s">
        <v>79</v>
      </c>
      <c r="F5" s="7" t="s">
        <v>16</v>
      </c>
      <c r="G5" s="7"/>
      <c r="H5" s="7" t="s">
        <v>3</v>
      </c>
      <c r="I5" s="7" t="s">
        <v>6</v>
      </c>
      <c r="J5" s="7" t="s">
        <v>25</v>
      </c>
      <c r="K5" s="7" t="s">
        <v>4</v>
      </c>
      <c r="L5" s="7" t="s">
        <v>17</v>
      </c>
      <c r="M5" s="7" t="s">
        <v>7</v>
      </c>
      <c r="N5" s="7" t="s">
        <v>80</v>
      </c>
      <c r="O5" s="7" t="s">
        <v>26</v>
      </c>
      <c r="P5" s="7" t="s">
        <v>11</v>
      </c>
      <c r="Q5" s="7" t="s">
        <v>12</v>
      </c>
      <c r="R5" s="7" t="s">
        <v>13</v>
      </c>
      <c r="S5" s="7" t="s">
        <v>14</v>
      </c>
      <c r="T5" s="7" t="s">
        <v>81</v>
      </c>
      <c r="U5" s="7" t="s">
        <v>82</v>
      </c>
    </row>
    <row r="6" spans="2:22" ht="78.75" customHeight="1" x14ac:dyDescent="0.55000000000000004">
      <c r="B6" s="3" t="s">
        <v>83</v>
      </c>
      <c r="C6" s="3" t="s">
        <v>84</v>
      </c>
      <c r="D6" s="3" t="s">
        <v>85</v>
      </c>
      <c r="E6" s="3" t="s">
        <v>86</v>
      </c>
      <c r="F6" s="3" t="s">
        <v>2</v>
      </c>
      <c r="G6" s="3" t="s">
        <v>29</v>
      </c>
      <c r="H6" s="4">
        <v>44832</v>
      </c>
      <c r="I6" s="4"/>
      <c r="J6" s="5" t="s">
        <v>87</v>
      </c>
      <c r="K6" s="3" t="s">
        <v>5</v>
      </c>
      <c r="L6" s="3" t="s">
        <v>30</v>
      </c>
      <c r="M6" s="3" t="s">
        <v>88</v>
      </c>
      <c r="N6" s="3" t="s">
        <v>89</v>
      </c>
      <c r="O6" s="3"/>
      <c r="P6" s="3" t="s">
        <v>90</v>
      </c>
      <c r="Q6" s="3"/>
      <c r="R6" s="3"/>
      <c r="S6" s="3"/>
      <c r="T6" s="253" t="s">
        <v>91</v>
      </c>
      <c r="U6" s="248" t="s">
        <v>92</v>
      </c>
      <c r="V6" s="6"/>
    </row>
    <row r="7" spans="2:22" ht="78.75" customHeight="1" x14ac:dyDescent="0.55000000000000004">
      <c r="B7" s="3"/>
      <c r="C7" s="3"/>
      <c r="D7" s="3"/>
      <c r="E7" s="3" t="s">
        <v>86</v>
      </c>
      <c r="F7" s="3" t="s">
        <v>2</v>
      </c>
      <c r="G7" s="3" t="s">
        <v>29</v>
      </c>
      <c r="H7" s="4">
        <v>44860</v>
      </c>
      <c r="I7" s="4"/>
      <c r="J7" s="5" t="s">
        <v>93</v>
      </c>
      <c r="K7" s="3" t="s">
        <v>5</v>
      </c>
      <c r="L7" s="3" t="s">
        <v>30</v>
      </c>
      <c r="M7" s="3"/>
      <c r="N7" s="3"/>
      <c r="O7" s="3"/>
      <c r="P7" s="3" t="s">
        <v>90</v>
      </c>
      <c r="Q7" s="3"/>
      <c r="R7" s="3"/>
      <c r="S7" s="3"/>
      <c r="T7" s="254"/>
      <c r="U7" s="249"/>
    </row>
    <row r="8" spans="2:22" ht="78.75" customHeight="1" x14ac:dyDescent="0.55000000000000004">
      <c r="B8" s="3"/>
      <c r="C8" s="3"/>
      <c r="D8" s="3"/>
      <c r="E8" s="3" t="s">
        <v>86</v>
      </c>
      <c r="F8" s="3" t="s">
        <v>2</v>
      </c>
      <c r="G8" s="3" t="s">
        <v>94</v>
      </c>
      <c r="H8" s="4">
        <v>44876</v>
      </c>
      <c r="I8" s="4"/>
      <c r="J8" s="5" t="s">
        <v>95</v>
      </c>
      <c r="K8" s="3" t="s">
        <v>5</v>
      </c>
      <c r="L8" s="3" t="s">
        <v>30</v>
      </c>
      <c r="M8" s="3"/>
      <c r="N8" s="3"/>
      <c r="O8" s="3"/>
      <c r="P8" s="3" t="s">
        <v>90</v>
      </c>
      <c r="Q8" s="3"/>
      <c r="R8" s="3"/>
      <c r="S8" s="3"/>
      <c r="T8" s="254"/>
      <c r="U8" s="249"/>
    </row>
    <row r="9" spans="2:22" ht="78.75" customHeight="1" x14ac:dyDescent="0.55000000000000004">
      <c r="B9" s="3"/>
      <c r="C9" s="3"/>
      <c r="D9" s="3"/>
      <c r="E9" s="3" t="s">
        <v>96</v>
      </c>
      <c r="F9" s="3" t="s">
        <v>2</v>
      </c>
      <c r="G9" s="3" t="s">
        <v>94</v>
      </c>
      <c r="H9" s="4">
        <v>44887</v>
      </c>
      <c r="I9" s="4"/>
      <c r="J9" s="5" t="s">
        <v>97</v>
      </c>
      <c r="K9" s="3" t="s">
        <v>5</v>
      </c>
      <c r="L9" s="3" t="s">
        <v>30</v>
      </c>
      <c r="M9" s="3"/>
      <c r="N9" s="3"/>
      <c r="O9" s="3"/>
      <c r="P9" s="3" t="s">
        <v>90</v>
      </c>
      <c r="Q9" s="3"/>
      <c r="R9" s="5" t="s">
        <v>98</v>
      </c>
      <c r="S9" s="5"/>
      <c r="T9" s="254"/>
      <c r="U9" s="249"/>
    </row>
    <row r="10" spans="2:22" ht="78.75" customHeight="1" x14ac:dyDescent="0.55000000000000004">
      <c r="B10" s="3"/>
      <c r="C10" s="3"/>
      <c r="D10" s="3"/>
      <c r="E10" s="3" t="s">
        <v>96</v>
      </c>
      <c r="F10" s="3" t="s">
        <v>2</v>
      </c>
      <c r="G10" s="3" t="s">
        <v>94</v>
      </c>
      <c r="H10" s="4">
        <v>44920</v>
      </c>
      <c r="I10" s="4"/>
      <c r="J10" s="5" t="s">
        <v>99</v>
      </c>
      <c r="K10" s="3" t="s">
        <v>5</v>
      </c>
      <c r="L10" s="3" t="s">
        <v>30</v>
      </c>
      <c r="M10" s="3"/>
      <c r="N10" s="3"/>
      <c r="O10" s="3"/>
      <c r="P10" s="3" t="s">
        <v>100</v>
      </c>
      <c r="Q10" s="3"/>
      <c r="R10" s="3"/>
      <c r="S10" s="3"/>
      <c r="T10" s="254"/>
      <c r="U10" s="249"/>
    </row>
    <row r="11" spans="2:22" ht="78.75" customHeight="1" x14ac:dyDescent="0.55000000000000004">
      <c r="B11" s="3"/>
      <c r="C11" s="3"/>
      <c r="D11" s="3"/>
      <c r="E11" s="3" t="s">
        <v>96</v>
      </c>
      <c r="F11" s="3" t="s">
        <v>2</v>
      </c>
      <c r="G11" s="3" t="s">
        <v>29</v>
      </c>
      <c r="H11" s="4">
        <v>44921</v>
      </c>
      <c r="I11" s="4"/>
      <c r="J11" s="5" t="s">
        <v>42</v>
      </c>
      <c r="K11" s="3" t="s">
        <v>5</v>
      </c>
      <c r="L11" s="3" t="s">
        <v>30</v>
      </c>
      <c r="M11" s="3"/>
      <c r="N11" s="3"/>
      <c r="O11" s="3"/>
      <c r="P11" s="3"/>
      <c r="Q11" s="3"/>
      <c r="R11" s="3"/>
      <c r="S11" s="5" t="s">
        <v>101</v>
      </c>
      <c r="T11" s="254"/>
      <c r="U11" s="249"/>
    </row>
    <row r="12" spans="2:22" ht="78.75" customHeight="1" x14ac:dyDescent="0.55000000000000004">
      <c r="B12" s="3"/>
      <c r="C12" s="3"/>
      <c r="D12" s="3"/>
      <c r="E12" s="3" t="s">
        <v>96</v>
      </c>
      <c r="F12" s="3" t="s">
        <v>10</v>
      </c>
      <c r="G12" s="3" t="s">
        <v>102</v>
      </c>
      <c r="H12" s="4">
        <v>44905</v>
      </c>
      <c r="I12" s="4">
        <v>44916</v>
      </c>
      <c r="J12" s="5" t="s">
        <v>103</v>
      </c>
      <c r="K12" s="3" t="s">
        <v>5</v>
      </c>
      <c r="L12" s="3" t="s">
        <v>30</v>
      </c>
      <c r="M12" s="3"/>
      <c r="N12" s="3"/>
      <c r="O12" s="3"/>
      <c r="P12" s="3"/>
      <c r="Q12" s="3"/>
      <c r="R12" s="3"/>
      <c r="S12" s="5" t="s">
        <v>104</v>
      </c>
      <c r="T12" s="254"/>
      <c r="U12" s="249"/>
    </row>
    <row r="13" spans="2:22" ht="78.75" customHeight="1" x14ac:dyDescent="0.55000000000000004">
      <c r="B13" s="3"/>
      <c r="C13" s="3"/>
      <c r="D13" s="3"/>
      <c r="E13" s="3" t="s">
        <v>96</v>
      </c>
      <c r="F13" s="3" t="s">
        <v>10</v>
      </c>
      <c r="G13" s="3" t="s">
        <v>105</v>
      </c>
      <c r="H13" s="4">
        <v>44897</v>
      </c>
      <c r="I13" s="4">
        <v>44929</v>
      </c>
      <c r="J13" s="5" t="s">
        <v>43</v>
      </c>
      <c r="K13" s="3" t="s">
        <v>5</v>
      </c>
      <c r="L13" s="3" t="s">
        <v>30</v>
      </c>
      <c r="M13" s="3"/>
      <c r="N13" s="3"/>
      <c r="O13" s="3"/>
      <c r="P13" s="3"/>
      <c r="Q13" s="3"/>
      <c r="R13" s="3"/>
      <c r="S13" s="5" t="s">
        <v>106</v>
      </c>
      <c r="T13" s="254"/>
      <c r="U13" s="249"/>
    </row>
    <row r="14" spans="2:22" ht="78.75" customHeight="1" x14ac:dyDescent="0.55000000000000004">
      <c r="B14" s="3"/>
      <c r="C14" s="3"/>
      <c r="D14" s="3"/>
      <c r="E14" s="3" t="s">
        <v>86</v>
      </c>
      <c r="F14" s="3" t="s">
        <v>10</v>
      </c>
      <c r="G14" s="5" t="s">
        <v>107</v>
      </c>
      <c r="H14" s="4">
        <v>44929</v>
      </c>
      <c r="I14" s="4" t="s">
        <v>31</v>
      </c>
      <c r="J14" s="3" t="s">
        <v>19</v>
      </c>
      <c r="K14" s="3" t="s">
        <v>5</v>
      </c>
      <c r="L14" s="3" t="s">
        <v>30</v>
      </c>
      <c r="M14" s="3"/>
      <c r="N14" s="3"/>
      <c r="O14" s="3"/>
      <c r="P14" s="3"/>
      <c r="Q14" s="3"/>
      <c r="R14" s="3"/>
      <c r="S14" s="3"/>
      <c r="T14" s="254"/>
      <c r="U14" s="249"/>
    </row>
    <row r="15" spans="2:22" ht="78.75" customHeight="1" x14ac:dyDescent="0.55000000000000004">
      <c r="B15" s="3"/>
      <c r="C15" s="3"/>
      <c r="D15" s="3"/>
      <c r="E15" s="3" t="s">
        <v>96</v>
      </c>
      <c r="F15" s="3" t="s">
        <v>10</v>
      </c>
      <c r="G15" s="3" t="s">
        <v>108</v>
      </c>
      <c r="H15" s="4">
        <v>44917</v>
      </c>
      <c r="I15" s="4">
        <v>44929</v>
      </c>
      <c r="J15" s="5" t="s">
        <v>109</v>
      </c>
      <c r="K15" s="3" t="s">
        <v>110</v>
      </c>
      <c r="L15" s="3" t="s">
        <v>30</v>
      </c>
      <c r="M15" s="3"/>
      <c r="N15" s="3"/>
      <c r="O15" s="3"/>
      <c r="P15" s="3"/>
      <c r="Q15" s="3"/>
      <c r="R15" s="3"/>
      <c r="S15" s="5" t="s">
        <v>106</v>
      </c>
      <c r="T15" s="255"/>
      <c r="U15" s="250"/>
    </row>
    <row r="16" spans="2:22" ht="78.75" customHeight="1" x14ac:dyDescent="0.55000000000000004"/>
    <row r="17" ht="36.75" customHeight="1" x14ac:dyDescent="0.55000000000000004"/>
    <row r="18" ht="36.75" customHeight="1" x14ac:dyDescent="0.55000000000000004"/>
    <row r="19" ht="36.75" customHeight="1" x14ac:dyDescent="0.55000000000000004"/>
    <row r="20" ht="36.75" customHeight="1" x14ac:dyDescent="0.55000000000000004"/>
    <row r="21" ht="50.25" customHeight="1" x14ac:dyDescent="0.55000000000000004"/>
  </sheetData>
  <mergeCells count="3">
    <mergeCell ref="C5:D5"/>
    <mergeCell ref="T6:T15"/>
    <mergeCell ref="U6:U15"/>
  </mergeCells>
  <phoneticPr fontId="1"/>
  <pageMargins left="0.70866141732283472" right="0.70866141732283472" top="0.74803149606299213" bottom="0.74803149606299213" header="0.31496062992125984" footer="0.31496062992125984"/>
  <pageSetup paperSize="9" scale="44"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742992D-5CC9-41C9-BDA0-9AD78D6C94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改定履歴</vt:lpstr>
      <vt:lpstr>22M　LCM　全不具合</vt:lpstr>
      <vt:lpstr>TABLE</vt:lpstr>
      <vt:lpstr>25080購買追記_TB 各拠点LCM搭載機種一覧 (全拠点)</vt:lpstr>
      <vt:lpstr>TB 各拠点LCM搭載機種一覧 (全拠点）</vt:lpstr>
      <vt:lpstr>3A0A_WSE</vt:lpstr>
      <vt:lpstr>3F0A_A60_GSE</vt:lpstr>
      <vt:lpstr>WSE</vt:lpstr>
      <vt:lpstr>'22M　LCM　全不具合'!Print_Area</vt:lpstr>
      <vt:lpstr>'25080購買追記_TB 各拠点LCM搭載機種一覧 (全拠点)'!Print_Area</vt:lpstr>
      <vt:lpstr>'TB 各拠点LCM搭載機種一覧 (全拠点）'!Print_Area</vt:lpstr>
      <vt:lpstr>対策データ</vt:lpstr>
    </vt:vector>
  </TitlesOfParts>
  <Company>スタンレー電気株式会社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HIDETO MAKINO</dc:creator>
  <cp:lastModifiedBy>KAJIMA HIROFUMI (梶間 博文)</cp:lastModifiedBy>
  <cp:lastPrinted>2023-08-25T02:47:57Z</cp:lastPrinted>
  <dcterms:created xsi:type="dcterms:W3CDTF">2023-01-24T03:53:32Z</dcterms:created>
  <dcterms:modified xsi:type="dcterms:W3CDTF">2025-08-04T06:03:46Z</dcterms:modified>
</cp:coreProperties>
</file>